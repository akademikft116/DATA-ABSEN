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na-FT\Downloads\"/>
    </mc:Choice>
  </mc:AlternateContent>
  <xr:revisionPtr revIDLastSave="0" documentId="13_ncr:1_{07C33275-09A1-4AF0-A107-9CDB5ECD0155}" xr6:coauthVersionLast="45" xr6:coauthVersionMax="45" xr10:uidLastSave="{00000000-0000-0000-0000-000000000000}"/>
  <bookViews>
    <workbookView xWindow="-120" yWindow="-120" windowWidth="20730" windowHeight="11160" activeTab="1" xr2:uid="{574DF614-3198-4A7F-BE57-4CF89A9319CD}"/>
  </bookViews>
  <sheets>
    <sheet name="NOVEMBER" sheetId="1" r:id="rId1"/>
    <sheet name="LEMBUR" sheetId="2" r:id="rId2"/>
    <sheet name="NOVEMBER.25 K3" sheetId="3" r:id="rId3"/>
  </sheets>
  <definedNames>
    <definedName name="_xlnm._FilterDatabase" localSheetId="1" hidden="1">LEMBUR!#REF!</definedName>
    <definedName name="_xlnm.Print_Area" localSheetId="1">LEMBUR!$A$1:$J$137</definedName>
    <definedName name="_xlnm.Print_Area" localSheetId="2">'NOVEMBER.25 K3'!$A$1:$AS$26</definedName>
    <definedName name="_xlnm.Print_Titles" localSheetId="1">LEMBUR!$1:$2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16" i="3" l="1"/>
  <c r="AR15" i="3"/>
  <c r="AP15" i="3"/>
  <c r="AR14" i="3"/>
  <c r="AP14" i="3"/>
  <c r="AR9" i="3"/>
  <c r="AI9" i="3"/>
  <c r="AF9" i="3"/>
  <c r="AC9" i="3"/>
  <c r="Z9" i="3"/>
  <c r="W9" i="3"/>
  <c r="T9" i="3"/>
  <c r="Q9" i="3"/>
  <c r="N9" i="3"/>
  <c r="K9" i="3"/>
  <c r="AP9" i="3" s="1"/>
  <c r="H9" i="3"/>
  <c r="E9" i="3"/>
  <c r="AR8" i="3"/>
  <c r="AR10" i="3" s="1"/>
  <c r="AR17" i="3" s="1"/>
  <c r="AI8" i="3"/>
  <c r="AF8" i="3"/>
  <c r="AC8" i="3"/>
  <c r="Z8" i="3"/>
  <c r="W8" i="3"/>
  <c r="Q8" i="3"/>
  <c r="N8" i="3"/>
  <c r="K8" i="3"/>
  <c r="AP8" i="3" s="1"/>
  <c r="H8" i="3"/>
  <c r="E8" i="3"/>
  <c r="I128" i="2"/>
  <c r="H128" i="2"/>
  <c r="G128" i="2"/>
  <c r="G129" i="2" s="1"/>
  <c r="G121" i="2"/>
  <c r="G126" i="2" s="1"/>
  <c r="I116" i="2"/>
  <c r="G117" i="2" s="1"/>
  <c r="H116" i="2"/>
  <c r="G116" i="2"/>
  <c r="G109" i="2"/>
  <c r="G114" i="2" s="1"/>
  <c r="I104" i="2"/>
  <c r="H104" i="2"/>
  <c r="G104" i="2"/>
  <c r="G105" i="2" s="1"/>
  <c r="G97" i="2"/>
  <c r="G102" i="2" s="1"/>
  <c r="I93" i="2"/>
  <c r="G94" i="2" s="1"/>
  <c r="H93" i="2"/>
  <c r="G93" i="2"/>
  <c r="G86" i="2"/>
  <c r="G91" i="2" s="1"/>
  <c r="I82" i="2"/>
  <c r="H82" i="2"/>
  <c r="G82" i="2"/>
  <c r="G83" i="2" s="1"/>
  <c r="G75" i="2"/>
  <c r="G80" i="2" s="1"/>
  <c r="I71" i="2"/>
  <c r="G72" i="2" s="1"/>
  <c r="H71" i="2"/>
  <c r="G71" i="2"/>
  <c r="G65" i="2"/>
  <c r="G69" i="2" s="1"/>
  <c r="G64" i="2"/>
  <c r="I60" i="2"/>
  <c r="H60" i="2"/>
  <c r="G61" i="2" s="1"/>
  <c r="G60" i="2"/>
  <c r="G53" i="2"/>
  <c r="G58" i="2" s="1"/>
  <c r="G50" i="2"/>
  <c r="I49" i="2"/>
  <c r="H49" i="2"/>
  <c r="G49" i="2"/>
  <c r="G46" i="2"/>
  <c r="G45" i="2"/>
  <c r="G44" i="2"/>
  <c r="G43" i="2"/>
  <c r="G47" i="2" s="1"/>
  <c r="G42" i="2"/>
  <c r="I38" i="2"/>
  <c r="H38" i="2"/>
  <c r="G39" i="2" s="1"/>
  <c r="G38" i="2"/>
  <c r="G35" i="2"/>
  <c r="G34" i="2"/>
  <c r="G33" i="2"/>
  <c r="G32" i="2"/>
  <c r="G31" i="2"/>
  <c r="G30" i="2"/>
  <c r="G29" i="2"/>
  <c r="G28" i="2"/>
  <c r="G36" i="2" s="1"/>
  <c r="I24" i="2"/>
  <c r="G25" i="2" s="1"/>
  <c r="H24" i="2"/>
  <c r="G24" i="2"/>
  <c r="G21" i="2"/>
  <c r="G20" i="2"/>
  <c r="G19" i="2"/>
  <c r="G18" i="2"/>
  <c r="G22" i="2" s="1"/>
  <c r="G15" i="2"/>
  <c r="I14" i="2"/>
  <c r="H14" i="2"/>
  <c r="G14" i="2"/>
  <c r="G11" i="2"/>
  <c r="G10" i="2"/>
  <c r="G9" i="2"/>
  <c r="G8" i="2"/>
  <c r="G12" i="2" s="1"/>
  <c r="G7" i="2"/>
  <c r="G6" i="2"/>
  <c r="G5" i="2"/>
  <c r="G130" i="2" l="1"/>
</calcChain>
</file>

<file path=xl/sharedStrings.xml><?xml version="1.0" encoding="utf-8"?>
<sst xmlns="http://schemas.openxmlformats.org/spreadsheetml/2006/main" count="898" uniqueCount="331">
  <si>
    <t>Windy</t>
  </si>
  <si>
    <t>Nama</t>
  </si>
  <si>
    <t>Waktu</t>
  </si>
  <si>
    <t>Bu Ati</t>
  </si>
  <si>
    <t>01/11/2025 9:43</t>
  </si>
  <si>
    <t>Pa Ardhi</t>
  </si>
  <si>
    <t>01/11/2025 15:36</t>
  </si>
  <si>
    <t>Pa Saji</t>
  </si>
  <si>
    <t>03/11/2025 7:57</t>
  </si>
  <si>
    <t>Pa Irvan</t>
  </si>
  <si>
    <t>03/11/2025 16:25</t>
  </si>
  <si>
    <t>Bu Wahyu</t>
  </si>
  <si>
    <t>04/11/2025 8:45</t>
  </si>
  <si>
    <t>Bu Elzi</t>
  </si>
  <si>
    <t>04/11/2025 16:05</t>
  </si>
  <si>
    <t>Pa Nanang</t>
  </si>
  <si>
    <t>05/11/2025 8:43</t>
  </si>
  <si>
    <t>Devi</t>
  </si>
  <si>
    <t>05/11/2025 17:35</t>
  </si>
  <si>
    <t>Intan</t>
  </si>
  <si>
    <t>06/11/2025 7:44</t>
  </si>
  <si>
    <t>Alifah</t>
  </si>
  <si>
    <t>06/11/2025 17:12</t>
  </si>
  <si>
    <t>Pebi</t>
  </si>
  <si>
    <t>07/11/2025 8:28</t>
  </si>
  <si>
    <t>Dian</t>
  </si>
  <si>
    <t>Rafly</t>
  </si>
  <si>
    <t>10/11/2025 16:04</t>
  </si>
  <si>
    <t>Erni</t>
  </si>
  <si>
    <t>11/11/2025 8:46</t>
  </si>
  <si>
    <t>11/11/2025 17:02</t>
  </si>
  <si>
    <t>12/11/2025 8:30</t>
  </si>
  <si>
    <t>12/11/2025 16:10</t>
  </si>
  <si>
    <t>13/11/2025 7:39</t>
  </si>
  <si>
    <t>13/11/2025 16:07</t>
  </si>
  <si>
    <t>14/11/2025 8:38</t>
  </si>
  <si>
    <t>14/11/2025 16:16</t>
  </si>
  <si>
    <t>15/11/2025 9:42</t>
  </si>
  <si>
    <t>15/11/2025 13:05</t>
  </si>
  <si>
    <t>17/11/2025 7:27</t>
  </si>
  <si>
    <t>17/11/2025 18:06</t>
  </si>
  <si>
    <t>03/11/2025 7:26</t>
  </si>
  <si>
    <t>03/11/2025 16:02</t>
  </si>
  <si>
    <t>04/11/2025 6:45</t>
  </si>
  <si>
    <t>04/11/2025 16:00</t>
  </si>
  <si>
    <t>05/11/2025 7:36</t>
  </si>
  <si>
    <t>06/11/2025 9:10</t>
  </si>
  <si>
    <t>06/11/2025 17:02</t>
  </si>
  <si>
    <t>07/11/2025 9:01</t>
  </si>
  <si>
    <t>10/11/2025 7:25</t>
  </si>
  <si>
    <t>10/11/2025 16:16</t>
  </si>
  <si>
    <t>11/11/2025 9:15</t>
  </si>
  <si>
    <t>11/11/2025 16:06</t>
  </si>
  <si>
    <t>12/11/2025 7:34</t>
  </si>
  <si>
    <t>12/11/2025 16:08</t>
  </si>
  <si>
    <t>13/11/2025 8:45</t>
  </si>
  <si>
    <t>13/11/2025 16:27</t>
  </si>
  <si>
    <t>14/11/2025 9:03</t>
  </si>
  <si>
    <t>14/11/2025 17:46</t>
  </si>
  <si>
    <t>15/11/2025 9:31</t>
  </si>
  <si>
    <t>15/11/2025 10:32</t>
  </si>
  <si>
    <t>17/11/2025 7:10</t>
  </si>
  <si>
    <t>17/11/2025 16:12</t>
  </si>
  <si>
    <t>Pak Ardhi</t>
  </si>
  <si>
    <t>03/11/2025 9:39</t>
  </si>
  <si>
    <t>03/11/2025 16:05</t>
  </si>
  <si>
    <t>04/11/2025 6:59</t>
  </si>
  <si>
    <t>05/11/2025 8:50</t>
  </si>
  <si>
    <t>05/11/2025 16:03</t>
  </si>
  <si>
    <t>06/11/2025 8:47</t>
  </si>
  <si>
    <t>06/11/2025 16:15</t>
  </si>
  <si>
    <t>10/11/2025 8:34</t>
  </si>
  <si>
    <t>10/11/2025 16:05</t>
  </si>
  <si>
    <t>11/11/2025 7:17</t>
  </si>
  <si>
    <t>11/11/2025 16:29</t>
  </si>
  <si>
    <t>12/11/2025 7:14</t>
  </si>
  <si>
    <t>12/11/2025 16:02</t>
  </si>
  <si>
    <t>13/11/2025 9:20</t>
  </si>
  <si>
    <t>13/11/2025 16:09</t>
  </si>
  <si>
    <t>14/11/2025 8:27</t>
  </si>
  <si>
    <t>14/11/2025 15:31</t>
  </si>
  <si>
    <t>15/11/2025 9:24</t>
  </si>
  <si>
    <t>15/11/2025 13:52</t>
  </si>
  <si>
    <t>17/11/2025 8:17</t>
  </si>
  <si>
    <t>17/11/2025 16:18</t>
  </si>
  <si>
    <t>Pak Saji</t>
  </si>
  <si>
    <t>01/11/2025 6:30</t>
  </si>
  <si>
    <t>01/11/2025 21:01</t>
  </si>
  <si>
    <t>03/11/2025 6:48</t>
  </si>
  <si>
    <t>03/11/2025 22:02</t>
  </si>
  <si>
    <t>04/11/2025 6:47</t>
  </si>
  <si>
    <t>04/11/2025 22:00</t>
  </si>
  <si>
    <t>05/11/2025 7:12</t>
  </si>
  <si>
    <t>05/11/2025 7:13</t>
  </si>
  <si>
    <t>05/11/2025 22:00</t>
  </si>
  <si>
    <t>06/11/2025 7:27</t>
  </si>
  <si>
    <t>06/11/2025 7:28</t>
  </si>
  <si>
    <t>06/11/2025 22:00</t>
  </si>
  <si>
    <t>07/11/2025 6:46</t>
  </si>
  <si>
    <t>08/11/2025 6:42</t>
  </si>
  <si>
    <t>08/11/2025 20:02</t>
  </si>
  <si>
    <t>10/11/2025 6:35</t>
  </si>
  <si>
    <t>10/11/2025 6:37</t>
  </si>
  <si>
    <t>10/11/2025 22:00</t>
  </si>
  <si>
    <t>11/11/2025 6:43</t>
  </si>
  <si>
    <t>11/11/2025 22:00</t>
  </si>
  <si>
    <t>12/11/2025 7:06</t>
  </si>
  <si>
    <t>12/11/2025 22:00</t>
  </si>
  <si>
    <t>13/11/2025 7:31</t>
  </si>
  <si>
    <t>13/11/2025 22:00</t>
  </si>
  <si>
    <t>14/11/2025 6:50</t>
  </si>
  <si>
    <t>14/11/2025 22:03</t>
  </si>
  <si>
    <t>15/11/2025 7:30</t>
  </si>
  <si>
    <t>15/11/2025 20:03</t>
  </si>
  <si>
    <t>15/11/2025 20:12</t>
  </si>
  <si>
    <t>17/11/2025 7:18</t>
  </si>
  <si>
    <t>17/11/2025 22:01</t>
  </si>
  <si>
    <t>Pak Irvan</t>
  </si>
  <si>
    <t>03/11/2025 9:03</t>
  </si>
  <si>
    <t>03/11/2025 16:00</t>
  </si>
  <si>
    <t>04/11/2025 8:41</t>
  </si>
  <si>
    <t>04/11/2025 15:58</t>
  </si>
  <si>
    <t>05/11/2025 7:56</t>
  </si>
  <si>
    <t>05/11/2025 16:02</t>
  </si>
  <si>
    <t>06/11/2025 8:57</t>
  </si>
  <si>
    <t>06/11/2025 16:04</t>
  </si>
  <si>
    <t>07/11/2025 7:57</t>
  </si>
  <si>
    <t>10/11/2025 9:31</t>
  </si>
  <si>
    <t>11/11/2025 8:41</t>
  </si>
  <si>
    <t>11/11/2025 16:04</t>
  </si>
  <si>
    <t>12/11/2025 7:53</t>
  </si>
  <si>
    <t>12/11/2025 16:04</t>
  </si>
  <si>
    <t>13/11/2025 16:01</t>
  </si>
  <si>
    <t>14/11/2025 15:36</t>
  </si>
  <si>
    <t>17/11/2025 8:53</t>
  </si>
  <si>
    <t>17/11/2025 16:33</t>
  </si>
  <si>
    <t>03/11/2025 8:08</t>
  </si>
  <si>
    <t>04/11/2025 8:16</t>
  </si>
  <si>
    <t>06/11/2025 8:19</t>
  </si>
  <si>
    <t>07/11/2025 8:14</t>
  </si>
  <si>
    <t>10/11/2025 8:22</t>
  </si>
  <si>
    <t>11/11/2025 8:40</t>
  </si>
  <si>
    <t>12/11/2025 8:26</t>
  </si>
  <si>
    <t>17/11/2025 8:22</t>
  </si>
  <si>
    <t>03/11/2025 9:08</t>
  </si>
  <si>
    <t>04/11/2025 8:46</t>
  </si>
  <si>
    <t>05/11/2025 7:52</t>
  </si>
  <si>
    <t>05/11/2025 17:36</t>
  </si>
  <si>
    <t>03/11/2025 21:59</t>
  </si>
  <si>
    <t>04/11/2025 6:17</t>
  </si>
  <si>
    <t>04/11/2025 21:59</t>
  </si>
  <si>
    <t>05/11/2025 6:28</t>
  </si>
  <si>
    <t>06/11/2025 6:25</t>
  </si>
  <si>
    <t>06/11/2025 21:58</t>
  </si>
  <si>
    <t>07/11/2025 6:19</t>
  </si>
  <si>
    <t>11/11/2025 21:37</t>
  </si>
  <si>
    <t>12/11/2025 6:20</t>
  </si>
  <si>
    <t>13/11/2025 6:25</t>
  </si>
  <si>
    <t>13/11/2025 22:01</t>
  </si>
  <si>
    <t>14/11/2025 6:26</t>
  </si>
  <si>
    <t>15/11/2025 6:18</t>
  </si>
  <si>
    <t>15/11/2025 20:02</t>
  </si>
  <si>
    <t>17/11/2025 6:26</t>
  </si>
  <si>
    <t>17/11/2025 22:03</t>
  </si>
  <si>
    <t>03/11/2025 8:55</t>
  </si>
  <si>
    <t>04/11/2025 8:52</t>
  </si>
  <si>
    <t>04/11/2025 8:57</t>
  </si>
  <si>
    <t>04/11/2025 19:57</t>
  </si>
  <si>
    <t>05/11/2025 8:51</t>
  </si>
  <si>
    <t>05/11/2025 16:29</t>
  </si>
  <si>
    <t>06/11/2025 20:49</t>
  </si>
  <si>
    <t>07/11/2025 8:31</t>
  </si>
  <si>
    <t>07/11/2025 21:36</t>
  </si>
  <si>
    <t>10/11/2025 8:39</t>
  </si>
  <si>
    <t>11/11/2025 8:39</t>
  </si>
  <si>
    <t>11/11/2025 17:35</t>
  </si>
  <si>
    <t>12/11/2025 8:41</t>
  </si>
  <si>
    <t>13/11/2025 8:50</t>
  </si>
  <si>
    <t>13/11/2025 19:33</t>
  </si>
  <si>
    <t>14/11/2025 8:53</t>
  </si>
  <si>
    <t>14/11/2025 15:17</t>
  </si>
  <si>
    <t>15/11/2025 9:54</t>
  </si>
  <si>
    <t>15/11/2025 10:18</t>
  </si>
  <si>
    <t>15/11/2025 12:58</t>
  </si>
  <si>
    <t>17/11/2025 8:46</t>
  </si>
  <si>
    <t>17/11/2025 17:10</t>
  </si>
  <si>
    <t>03/11/2025 8:50</t>
  </si>
  <si>
    <t>04/11/2025 7:58</t>
  </si>
  <si>
    <t>04/11/2025 16:04</t>
  </si>
  <si>
    <t>05/11/2025 8:58</t>
  </si>
  <si>
    <t>05/11/2025 16:10</t>
  </si>
  <si>
    <t>06/11/2025 7:53</t>
  </si>
  <si>
    <t>06/11/2025 17:13</t>
  </si>
  <si>
    <t>07/11/2025 8:43</t>
  </si>
  <si>
    <t>10/11/2025 16:08</t>
  </si>
  <si>
    <t>11/11/2025 8:44</t>
  </si>
  <si>
    <t>11/11/2025 16:17</t>
  </si>
  <si>
    <t>12/11/2025 8:31</t>
  </si>
  <si>
    <t>13/11/2025 7:48</t>
  </si>
  <si>
    <t>13/11/2025 16:00</t>
  </si>
  <si>
    <t>14/11/2025 8:39</t>
  </si>
  <si>
    <t>14/11/2025 15:38</t>
  </si>
  <si>
    <t>17/11/2025 8:31</t>
  </si>
  <si>
    <t>17/11/2025 16:13</t>
  </si>
  <si>
    <t>03/11/2025 8:59</t>
  </si>
  <si>
    <t>04/11/2025 9:00</t>
  </si>
  <si>
    <t>04/11/2025 16:03</t>
  </si>
  <si>
    <t>05/11/2025 9:01</t>
  </si>
  <si>
    <t>05/11/2025 16:09</t>
  </si>
  <si>
    <t>06/11/2025 8:36</t>
  </si>
  <si>
    <t>06/11/2025 16:11</t>
  </si>
  <si>
    <t>06/11/2025 16:31</t>
  </si>
  <si>
    <t>10/11/2025 8:59</t>
  </si>
  <si>
    <t>10/11/2025 16:20</t>
  </si>
  <si>
    <t>11/11/2025 18:38</t>
  </si>
  <si>
    <t>12/11/2025 9:16</t>
  </si>
  <si>
    <t>12/11/2025 16:47</t>
  </si>
  <si>
    <t>13/11/2025 9:13</t>
  </si>
  <si>
    <t>13/11/2025 20:05</t>
  </si>
  <si>
    <t>14/11/2025 9:12</t>
  </si>
  <si>
    <t>17/11/2025 8:49</t>
  </si>
  <si>
    <t>17/11/2025 18:15</t>
  </si>
  <si>
    <t>03/11/2025 8:44</t>
  </si>
  <si>
    <t>04/11/2025 8:39</t>
  </si>
  <si>
    <t>05/11/2025 8:54</t>
  </si>
  <si>
    <t>06/11/2025 8:18</t>
  </si>
  <si>
    <t>07/11/2025 8:51</t>
  </si>
  <si>
    <t>10/11/2025 8:19</t>
  </si>
  <si>
    <t>10/11/2025 16:07</t>
  </si>
  <si>
    <t>11/11/2025 8:55</t>
  </si>
  <si>
    <t>11/11/2025 16:24</t>
  </si>
  <si>
    <t>12/11/2025 8:24</t>
  </si>
  <si>
    <t>12/11/2025 16:24</t>
  </si>
  <si>
    <t>14/11/2025 9:08</t>
  </si>
  <si>
    <t>15/11/2025 10:13</t>
  </si>
  <si>
    <t>17/11/2025 8:25</t>
  </si>
  <si>
    <t>17/11/2025 16:04</t>
  </si>
  <si>
    <t>Diana</t>
  </si>
  <si>
    <t>03/11/2025 8:51</t>
  </si>
  <si>
    <t>05/11/2025 7:28</t>
  </si>
  <si>
    <t>06/11/2025 8:58</t>
  </si>
  <si>
    <t>06/11/2025 17:15</t>
  </si>
  <si>
    <t>07/11/2025 9:12</t>
  </si>
  <si>
    <t>10/11/2025 8:53</t>
  </si>
  <si>
    <t>11/11/2025 7:54</t>
  </si>
  <si>
    <t>11/11/2025 7:58</t>
  </si>
  <si>
    <t>11/11/2025 16:16</t>
  </si>
  <si>
    <t>12/11/2025 8:43</t>
  </si>
  <si>
    <t>12/11/2025 15:58</t>
  </si>
  <si>
    <t>13/11/2025 9:03</t>
  </si>
  <si>
    <t>14/11/2025 7:52</t>
  </si>
  <si>
    <t>14/11/2025 15:37</t>
  </si>
  <si>
    <t>17/11/2025 8:41</t>
  </si>
  <si>
    <t>04/11/2025 7:51</t>
  </si>
  <si>
    <t>05/11/2025 16:30</t>
  </si>
  <si>
    <t>06/11/2025 8:43</t>
  </si>
  <si>
    <t>07/11/2025 7:55</t>
  </si>
  <si>
    <t>10/11/2025 8:50</t>
  </si>
  <si>
    <t>11/11/2025 7:53</t>
  </si>
  <si>
    <t>12/11/2025 7:54</t>
  </si>
  <si>
    <t>12/11/2025 16:13</t>
  </si>
  <si>
    <t>13/11/2025 8:58</t>
  </si>
  <si>
    <t>13/11/2025 16:19</t>
  </si>
  <si>
    <t>14/11/2025 8:51</t>
  </si>
  <si>
    <t>17/11/2025 8:52</t>
  </si>
  <si>
    <t>17/11/2025 19:48</t>
  </si>
  <si>
    <t>03/11/2025 7:52</t>
  </si>
  <si>
    <t>05/11/2025 17:59</t>
  </si>
  <si>
    <t>07/11/2025 8:35</t>
  </si>
  <si>
    <t>10/11/2025 7:56</t>
  </si>
  <si>
    <t>11/11/2025 8:57</t>
  </si>
  <si>
    <t>12/11/2025 8:54</t>
  </si>
  <si>
    <t>13/11/2025 7:59</t>
  </si>
  <si>
    <t>14/11/2025 8:48</t>
  </si>
  <si>
    <t>14/11/2025 15:26</t>
  </si>
  <si>
    <t>15/11/2025 9:21</t>
  </si>
  <si>
    <t>17/11/2025 7:55</t>
  </si>
  <si>
    <t>LEMBUR SEMESTER GANJIL TAHUN AKADEMIK 2025/2026</t>
  </si>
  <si>
    <t>BULAN OKTOBER 2025</t>
  </si>
  <si>
    <t>Name</t>
  </si>
  <si>
    <t>Hari</t>
  </si>
  <si>
    <t>Tanggal</t>
  </si>
  <si>
    <t>IN</t>
  </si>
  <si>
    <t>OUT</t>
  </si>
  <si>
    <t>JAM KERJA</t>
  </si>
  <si>
    <t>TOTAL</t>
  </si>
  <si>
    <t>UANG MAKAN</t>
  </si>
  <si>
    <t>TRANSPORT</t>
  </si>
  <si>
    <t>TANDA TANGAN</t>
  </si>
  <si>
    <t>ATI</t>
  </si>
  <si>
    <t>Senin</t>
  </si>
  <si>
    <t>Kamis</t>
  </si>
  <si>
    <t>IRVAN</t>
  </si>
  <si>
    <t>Rabu</t>
  </si>
  <si>
    <t>Jumat</t>
  </si>
  <si>
    <t xml:space="preserve"> ARDHI</t>
  </si>
  <si>
    <t>Selasa</t>
  </si>
  <si>
    <t>Jum'at</t>
  </si>
  <si>
    <t>WINDY</t>
  </si>
  <si>
    <t>BU ELZI</t>
  </si>
  <si>
    <t xml:space="preserve">INTAN </t>
  </si>
  <si>
    <t>DIANA</t>
  </si>
  <si>
    <t xml:space="preserve">RAFLY </t>
  </si>
  <si>
    <t xml:space="preserve">ERNI </t>
  </si>
  <si>
    <t>SAJI</t>
  </si>
  <si>
    <t>NANANG</t>
  </si>
  <si>
    <t>TOTAL KESELURUHAN</t>
  </si>
  <si>
    <t>Mengetahui/Menyetujui</t>
  </si>
  <si>
    <t>Bandung, 31 Oktober 2025</t>
  </si>
  <si>
    <t>Dekan</t>
  </si>
  <si>
    <t>Wakil Dekan II</t>
  </si>
  <si>
    <t>Dr. Sally Octaviana Sari, ST., MT</t>
  </si>
  <si>
    <t>Aisyah Nuraeni, ST., MT</t>
  </si>
  <si>
    <t>HONOR PIKET LEMBUR (PAGI &amp; MALAM) K3</t>
  </si>
  <si>
    <t>PERIODE BULAN OKTOBER  2025</t>
  </si>
  <si>
    <t>FAKULTAS TEKNIK UNIVERSITAS LANGLANGBUANA</t>
  </si>
  <si>
    <t>No.</t>
  </si>
  <si>
    <t>Nama Lengkap</t>
  </si>
  <si>
    <t>TOTAL JAM</t>
  </si>
  <si>
    <t>BULAT</t>
  </si>
  <si>
    <t>TTD</t>
  </si>
  <si>
    <t>Piket</t>
  </si>
  <si>
    <t>Out</t>
  </si>
  <si>
    <t>Total</t>
  </si>
  <si>
    <t>Nanang Nurdin</t>
  </si>
  <si>
    <t>Saji Rianto</t>
  </si>
  <si>
    <t>Bandung, 30 November 2025</t>
  </si>
  <si>
    <t>KABAG/K.TU</t>
  </si>
  <si>
    <t>STAF</t>
  </si>
  <si>
    <t>K3</t>
  </si>
  <si>
    <t>RATE BAYARAN LEMBUR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</si>
</sst>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Rp&quot;* #,##0_);_(&quot;Rp&quot;* \(#,##0\);_(&quot;Rp&quot;* &quot;-&quot;_);_(@_)"/>
    <numFmt numFmtId="164" formatCode="_-&quot;Rp&quot;* #,##0_-;\-&quot;Rp&quot;* #,##0_-;_-&quot;Rp&quot;* &quot;-&quot;_-;_-@_-"/>
  </numFmts>
  <fonts count="11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</font>
    <font>
      <b/>
      <sz val="10"/>
      <name val="Arial"/>
      <family val="2"/>
    </font>
    <font>
      <b/>
      <sz val="14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  <xf numFmtId="22" fontId="1" fillId="0" borderId="0" xfId="0" applyNumberFormat="1" applyFont="1" applyAlignment="1">
      <alignment horizontal="left"/>
    </xf>
    <xf numFmtId="20" fontId="0" fillId="0" borderId="0" xfId="0" applyNumberFormat="1" applyAlignment="1">
      <alignment horizontal="left"/>
    </xf>
    <xf numFmtId="22" fontId="1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42" fontId="4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2" fontId="9" fillId="0" borderId="1" xfId="0" applyNumberFormat="1" applyFont="1" applyBorder="1" applyAlignment="1">
      <alignment horizontal="center" vertical="center" wrapText="1"/>
    </xf>
    <xf numFmtId="42" fontId="9" fillId="0" borderId="1" xfId="0" applyNumberFormat="1" applyFont="1" applyBorder="1"/>
    <xf numFmtId="42" fontId="8" fillId="2" borderId="2" xfId="0" applyNumberFormat="1" applyFont="1" applyFill="1" applyBorder="1" applyAlignment="1">
      <alignment horizontal="center" vertical="center"/>
    </xf>
    <xf numFmtId="42" fontId="8" fillId="2" borderId="3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4" xfId="0" applyFont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42" fontId="8" fillId="0" borderId="1" xfId="0" applyNumberFormat="1" applyFont="1" applyBorder="1" applyAlignment="1">
      <alignment horizontal="center" vertical="center"/>
    </xf>
    <xf numFmtId="42" fontId="8" fillId="0" borderId="1" xfId="0" applyNumberFormat="1" applyFont="1" applyBorder="1"/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42" fontId="8" fillId="3" borderId="5" xfId="0" applyNumberFormat="1" applyFont="1" applyFill="1" applyBorder="1" applyAlignment="1">
      <alignment horizontal="center" vertical="center" wrapText="1"/>
    </xf>
    <xf numFmtId="42" fontId="8" fillId="3" borderId="6" xfId="0" applyNumberFormat="1" applyFont="1" applyFill="1" applyBorder="1" applyAlignment="1">
      <alignment horizontal="center" vertical="center" wrapText="1"/>
    </xf>
    <xf numFmtId="42" fontId="8" fillId="2" borderId="8" xfId="0" applyNumberFormat="1" applyFont="1" applyFill="1" applyBorder="1" applyAlignment="1">
      <alignment horizontal="center" vertical="center"/>
    </xf>
    <xf numFmtId="42" fontId="9" fillId="0" borderId="0" xfId="0" applyNumberFormat="1" applyFont="1"/>
    <xf numFmtId="42" fontId="8" fillId="3" borderId="1" xfId="0" applyNumberFormat="1" applyFont="1" applyFill="1" applyBorder="1" applyAlignment="1">
      <alignment horizontal="center" vertical="center" wrapText="1"/>
    </xf>
    <xf numFmtId="15" fontId="9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2" fontId="9" fillId="0" borderId="5" xfId="0" applyNumberFormat="1" applyFont="1" applyBorder="1"/>
    <xf numFmtId="42" fontId="8" fillId="2" borderId="1" xfId="0" applyNumberFormat="1" applyFont="1" applyFill="1" applyBorder="1" applyAlignment="1">
      <alignment horizontal="center" vertical="center"/>
    </xf>
    <xf numFmtId="42" fontId="8" fillId="0" borderId="5" xfId="0" applyNumberFormat="1" applyFont="1" applyBorder="1"/>
    <xf numFmtId="42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42" fontId="8" fillId="4" borderId="1" xfId="0" applyNumberFormat="1" applyFont="1" applyFill="1" applyBorder="1" applyAlignment="1">
      <alignment horizontal="center" vertical="center" wrapText="1"/>
    </xf>
    <xf numFmtId="42" fontId="8" fillId="2" borderId="7" xfId="0" applyNumberFormat="1" applyFont="1" applyFill="1" applyBorder="1" applyAlignment="1">
      <alignment vertical="center" wrapText="1"/>
    </xf>
    <xf numFmtId="42" fontId="2" fillId="0" borderId="0" xfId="0" applyNumberFormat="1" applyFont="1"/>
    <xf numFmtId="42" fontId="0" fillId="0" borderId="0" xfId="0" applyNumberForma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2" fillId="0" borderId="0" xfId="1" applyAlignment="1">
      <alignment horizontal="center" vertical="center"/>
    </xf>
    <xf numFmtId="0" fontId="4" fillId="5" borderId="5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horizontal="right" vertical="center" wrapText="1"/>
    </xf>
    <xf numFmtId="164" fontId="4" fillId="5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right" vertical="center" wrapText="1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2352AAA8-90B7-4BD9-A763-B40D8D335E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0B00-8EA2-40DC-8FAD-4B9DA521300B}">
  <dimension ref="A1:U305"/>
  <sheetViews>
    <sheetView zoomScaleNormal="100" workbookViewId="0">
      <selection activeCell="E73" sqref="E73:F103"/>
    </sheetView>
  </sheetViews>
  <sheetFormatPr defaultRowHeight="12.75" x14ac:dyDescent="0.2"/>
  <cols>
    <col min="1" max="2" width="10.140625" bestFit="1" customWidth="1"/>
    <col min="5" max="5" width="12.28515625" customWidth="1"/>
    <col min="6" max="6" width="15.42578125" bestFit="1" customWidth="1"/>
  </cols>
  <sheetData>
    <row r="1" spans="1:21" x14ac:dyDescent="0.2">
      <c r="B1" s="1" t="s">
        <v>0</v>
      </c>
      <c r="C1" s="1">
        <v>2</v>
      </c>
      <c r="D1" s="1"/>
      <c r="E1" s="2" t="s">
        <v>1</v>
      </c>
      <c r="F1" s="2" t="s">
        <v>2</v>
      </c>
      <c r="I1" s="2"/>
      <c r="J1" s="2"/>
      <c r="M1" s="2"/>
      <c r="N1" s="2"/>
      <c r="Q1" s="3"/>
      <c r="R1" s="3"/>
      <c r="T1" s="2"/>
      <c r="U1" s="2"/>
    </row>
    <row r="2" spans="1:21" x14ac:dyDescent="0.2">
      <c r="A2" s="1"/>
      <c r="B2" s="1" t="s">
        <v>3</v>
      </c>
      <c r="C2" s="1">
        <v>4</v>
      </c>
      <c r="D2" s="1"/>
      <c r="E2" s="4" t="s">
        <v>0</v>
      </c>
      <c r="F2" s="4" t="s">
        <v>4</v>
      </c>
      <c r="I2" s="4"/>
      <c r="J2" s="4"/>
      <c r="M2" s="4"/>
      <c r="N2" s="4"/>
      <c r="Q2" s="5"/>
      <c r="R2" s="5"/>
      <c r="T2" s="4"/>
      <c r="U2" s="4"/>
    </row>
    <row r="3" spans="1:21" x14ac:dyDescent="0.2">
      <c r="A3" s="1"/>
      <c r="B3" s="1" t="s">
        <v>5</v>
      </c>
      <c r="C3" s="1">
        <v>5</v>
      </c>
      <c r="D3" s="1"/>
      <c r="E3" s="4" t="s">
        <v>0</v>
      </c>
      <c r="F3" s="4" t="s">
        <v>6</v>
      </c>
      <c r="I3" s="4"/>
      <c r="J3" s="4"/>
      <c r="M3" s="4"/>
      <c r="N3" s="4"/>
      <c r="Q3" s="5"/>
      <c r="R3" s="5"/>
      <c r="T3" s="4"/>
      <c r="U3" s="4"/>
    </row>
    <row r="4" spans="1:21" x14ac:dyDescent="0.2">
      <c r="A4" s="1"/>
      <c r="B4" s="1" t="s">
        <v>7</v>
      </c>
      <c r="C4" s="1">
        <v>8</v>
      </c>
      <c r="D4" s="1"/>
      <c r="E4" s="4" t="s">
        <v>0</v>
      </c>
      <c r="F4" s="4" t="s">
        <v>8</v>
      </c>
      <c r="I4" s="4"/>
      <c r="J4" s="4"/>
      <c r="M4" s="4"/>
      <c r="N4" s="4"/>
      <c r="Q4" s="5"/>
      <c r="R4" s="5"/>
      <c r="T4" s="4"/>
      <c r="U4" s="4"/>
    </row>
    <row r="5" spans="1:21" x14ac:dyDescent="0.2">
      <c r="A5" s="1"/>
      <c r="B5" s="1" t="s">
        <v>9</v>
      </c>
      <c r="C5" s="1">
        <v>9</v>
      </c>
      <c r="D5" s="1"/>
      <c r="E5" s="4" t="s">
        <v>0</v>
      </c>
      <c r="F5" s="4" t="s">
        <v>10</v>
      </c>
      <c r="I5" s="4"/>
      <c r="J5" s="4"/>
      <c r="M5" s="4"/>
      <c r="N5" s="4"/>
      <c r="Q5" s="5"/>
      <c r="R5" s="5"/>
      <c r="T5" s="4"/>
      <c r="U5" s="4"/>
    </row>
    <row r="6" spans="1:21" x14ac:dyDescent="0.2">
      <c r="A6" s="1"/>
      <c r="B6" s="1" t="s">
        <v>11</v>
      </c>
      <c r="C6" s="1">
        <v>10</v>
      </c>
      <c r="D6" s="1"/>
      <c r="E6" s="4" t="s">
        <v>0</v>
      </c>
      <c r="F6" s="4" t="s">
        <v>12</v>
      </c>
      <c r="I6" s="4"/>
      <c r="J6" s="4"/>
      <c r="M6" s="4"/>
      <c r="N6" s="4"/>
      <c r="Q6" s="5"/>
      <c r="R6" s="5"/>
      <c r="T6" s="4"/>
      <c r="U6" s="4"/>
    </row>
    <row r="7" spans="1:21" x14ac:dyDescent="0.2">
      <c r="A7" s="1"/>
      <c r="B7" s="1" t="s">
        <v>13</v>
      </c>
      <c r="C7" s="1">
        <v>14</v>
      </c>
      <c r="D7" s="1"/>
      <c r="E7" s="4" t="s">
        <v>0</v>
      </c>
      <c r="F7" s="4" t="s">
        <v>14</v>
      </c>
      <c r="I7" s="4"/>
      <c r="J7" s="4"/>
      <c r="M7" s="4"/>
      <c r="N7" s="4"/>
      <c r="Q7" s="5"/>
      <c r="R7" s="5"/>
      <c r="T7" s="4"/>
      <c r="U7" s="4"/>
    </row>
    <row r="8" spans="1:21" x14ac:dyDescent="0.2">
      <c r="A8" s="1"/>
      <c r="B8" s="1" t="s">
        <v>15</v>
      </c>
      <c r="C8" s="1">
        <v>18</v>
      </c>
      <c r="D8" s="1"/>
      <c r="E8" s="4" t="s">
        <v>0</v>
      </c>
      <c r="F8" s="4" t="s">
        <v>16</v>
      </c>
      <c r="I8" s="4"/>
      <c r="J8" s="4"/>
      <c r="M8" s="4"/>
      <c r="N8" s="4"/>
      <c r="Q8" s="5"/>
      <c r="R8" s="5"/>
      <c r="T8" s="4"/>
      <c r="U8" s="4"/>
    </row>
    <row r="9" spans="1:21" x14ac:dyDescent="0.2">
      <c r="A9" s="1"/>
      <c r="B9" s="1" t="s">
        <v>17</v>
      </c>
      <c r="C9" s="1">
        <v>35</v>
      </c>
      <c r="D9" s="1"/>
      <c r="E9" s="4" t="s">
        <v>0</v>
      </c>
      <c r="F9" s="4" t="s">
        <v>18</v>
      </c>
      <c r="I9" s="4"/>
      <c r="J9" s="4"/>
      <c r="M9" s="4"/>
      <c r="N9" s="4"/>
      <c r="Q9" s="5"/>
      <c r="R9" s="5"/>
      <c r="T9" s="4"/>
      <c r="U9" s="4"/>
    </row>
    <row r="10" spans="1:21" x14ac:dyDescent="0.2">
      <c r="A10" s="1"/>
      <c r="B10" s="1" t="s">
        <v>19</v>
      </c>
      <c r="C10" s="1">
        <v>37</v>
      </c>
      <c r="D10" s="1"/>
      <c r="E10" s="4" t="s">
        <v>0</v>
      </c>
      <c r="F10" s="4" t="s">
        <v>20</v>
      </c>
      <c r="I10" s="4"/>
      <c r="J10" s="4"/>
      <c r="M10" s="4"/>
      <c r="N10" s="4"/>
      <c r="Q10" s="5"/>
      <c r="R10" s="5"/>
      <c r="T10" s="4"/>
      <c r="U10" s="4"/>
    </row>
    <row r="11" spans="1:21" x14ac:dyDescent="0.2">
      <c r="A11" s="1"/>
      <c r="B11" s="1" t="s">
        <v>21</v>
      </c>
      <c r="C11" s="1">
        <v>38</v>
      </c>
      <c r="D11" s="1"/>
      <c r="E11" s="4" t="s">
        <v>0</v>
      </c>
      <c r="F11" s="4" t="s">
        <v>22</v>
      </c>
      <c r="I11" s="4"/>
      <c r="J11" s="4"/>
      <c r="M11" s="4"/>
      <c r="N11" s="4"/>
      <c r="Q11" s="5"/>
      <c r="R11" s="5"/>
      <c r="T11" s="4"/>
      <c r="U11" s="4"/>
    </row>
    <row r="12" spans="1:21" x14ac:dyDescent="0.2">
      <c r="A12" s="1"/>
      <c r="B12" s="1" t="s">
        <v>23</v>
      </c>
      <c r="C12" s="1">
        <v>40</v>
      </c>
      <c r="D12" s="1"/>
      <c r="E12" s="4" t="s">
        <v>0</v>
      </c>
      <c r="F12" s="4" t="s">
        <v>24</v>
      </c>
      <c r="I12" s="4"/>
      <c r="J12" s="4"/>
      <c r="Q12" s="5"/>
      <c r="R12" s="5"/>
      <c r="T12" s="4"/>
      <c r="U12" s="4"/>
    </row>
    <row r="13" spans="1:21" x14ac:dyDescent="0.2">
      <c r="A13" s="1"/>
      <c r="B13" s="1" t="s">
        <v>25</v>
      </c>
      <c r="C13" s="1">
        <v>43</v>
      </c>
      <c r="D13" s="1"/>
      <c r="E13" s="4" t="s">
        <v>0</v>
      </c>
      <c r="F13" s="6">
        <v>45971.333333333336</v>
      </c>
      <c r="G13" s="7"/>
      <c r="I13" s="4"/>
      <c r="J13" s="4"/>
      <c r="Q13" s="5"/>
      <c r="R13" s="5"/>
      <c r="T13" s="4"/>
      <c r="U13" s="4"/>
    </row>
    <row r="14" spans="1:21" x14ac:dyDescent="0.2">
      <c r="A14" s="1"/>
      <c r="B14" s="1" t="s">
        <v>26</v>
      </c>
      <c r="C14" s="1">
        <v>44</v>
      </c>
      <c r="D14" s="1"/>
      <c r="E14" s="4" t="s">
        <v>0</v>
      </c>
      <c r="F14" s="4" t="s">
        <v>27</v>
      </c>
      <c r="I14" s="4"/>
      <c r="J14" s="4"/>
      <c r="Q14" s="5"/>
      <c r="R14" s="5"/>
      <c r="T14" s="4"/>
      <c r="U14" s="4"/>
    </row>
    <row r="15" spans="1:21" x14ac:dyDescent="0.2">
      <c r="A15" s="1"/>
      <c r="B15" s="1" t="s">
        <v>28</v>
      </c>
      <c r="C15" s="1">
        <v>47</v>
      </c>
      <c r="D15" s="1"/>
      <c r="E15" s="4" t="s">
        <v>0</v>
      </c>
      <c r="F15" s="4" t="s">
        <v>29</v>
      </c>
      <c r="I15" s="4"/>
      <c r="J15" s="4"/>
      <c r="Q15" s="5"/>
      <c r="R15" s="5"/>
      <c r="T15" s="4"/>
      <c r="U15" s="4"/>
    </row>
    <row r="16" spans="1:21" x14ac:dyDescent="0.2">
      <c r="A16" s="1"/>
      <c r="B16" s="1"/>
      <c r="C16" s="1"/>
      <c r="D16" s="1"/>
      <c r="E16" s="4" t="s">
        <v>0</v>
      </c>
      <c r="F16" s="4" t="s">
        <v>30</v>
      </c>
      <c r="I16" s="4"/>
      <c r="J16" s="4"/>
      <c r="Q16" s="5"/>
      <c r="R16" s="5"/>
      <c r="T16" s="4"/>
      <c r="U16" s="4"/>
    </row>
    <row r="17" spans="5:21" x14ac:dyDescent="0.2">
      <c r="E17" s="4" t="s">
        <v>0</v>
      </c>
      <c r="F17" s="4" t="s">
        <v>31</v>
      </c>
      <c r="I17" s="4"/>
      <c r="J17" s="4"/>
      <c r="Q17" s="5"/>
      <c r="R17" s="5"/>
      <c r="T17" s="4"/>
      <c r="U17" s="4"/>
    </row>
    <row r="18" spans="5:21" x14ac:dyDescent="0.2">
      <c r="E18" s="4" t="s">
        <v>0</v>
      </c>
      <c r="F18" s="4" t="s">
        <v>32</v>
      </c>
      <c r="I18" s="4"/>
      <c r="J18" s="4"/>
      <c r="Q18" s="5"/>
      <c r="R18" s="5"/>
      <c r="T18" s="4"/>
      <c r="U18" s="4"/>
    </row>
    <row r="19" spans="5:21" x14ac:dyDescent="0.2">
      <c r="E19" s="4" t="s">
        <v>0</v>
      </c>
      <c r="F19" s="4" t="s">
        <v>33</v>
      </c>
      <c r="I19" s="4"/>
      <c r="J19" s="4"/>
      <c r="Q19" s="5"/>
      <c r="R19" s="5"/>
      <c r="T19" s="4"/>
      <c r="U19" s="4"/>
    </row>
    <row r="20" spans="5:21" x14ac:dyDescent="0.2">
      <c r="E20" s="4" t="s">
        <v>0</v>
      </c>
      <c r="F20" s="4" t="s">
        <v>34</v>
      </c>
      <c r="I20" s="4"/>
      <c r="J20" s="4"/>
      <c r="Q20" s="5"/>
      <c r="R20" s="5"/>
      <c r="T20" s="4"/>
      <c r="U20" s="4"/>
    </row>
    <row r="21" spans="5:21" x14ac:dyDescent="0.2">
      <c r="E21" s="4" t="s">
        <v>0</v>
      </c>
      <c r="F21" s="4" t="s">
        <v>35</v>
      </c>
      <c r="I21" s="4"/>
      <c r="J21" s="4"/>
      <c r="Q21" s="5"/>
      <c r="R21" s="5"/>
      <c r="T21" s="4"/>
      <c r="U21" s="4"/>
    </row>
    <row r="22" spans="5:21" x14ac:dyDescent="0.2">
      <c r="E22" s="4" t="s">
        <v>0</v>
      </c>
      <c r="F22" s="4" t="s">
        <v>36</v>
      </c>
      <c r="I22" s="4"/>
      <c r="J22" s="4"/>
      <c r="Q22" s="5"/>
      <c r="R22" s="5"/>
      <c r="T22" s="4"/>
      <c r="U22" s="4"/>
    </row>
    <row r="23" spans="5:21" x14ac:dyDescent="0.2">
      <c r="E23" s="4" t="s">
        <v>0</v>
      </c>
      <c r="F23" s="4" t="s">
        <v>37</v>
      </c>
      <c r="I23" s="4"/>
      <c r="J23" s="4"/>
      <c r="Q23" s="5"/>
      <c r="R23" s="5"/>
      <c r="T23" s="4"/>
      <c r="U23" s="4"/>
    </row>
    <row r="24" spans="5:21" x14ac:dyDescent="0.2">
      <c r="E24" s="4" t="s">
        <v>0</v>
      </c>
      <c r="F24" s="4" t="s">
        <v>38</v>
      </c>
      <c r="I24" s="4"/>
      <c r="J24" s="4"/>
      <c r="Q24" s="5"/>
      <c r="R24" s="5"/>
      <c r="T24" s="4"/>
      <c r="U24" s="4"/>
    </row>
    <row r="25" spans="5:21" x14ac:dyDescent="0.2">
      <c r="E25" s="4" t="s">
        <v>0</v>
      </c>
      <c r="F25" s="4" t="s">
        <v>39</v>
      </c>
      <c r="I25" s="4"/>
      <c r="J25" s="4"/>
      <c r="T25" s="4"/>
      <c r="U25" s="4"/>
    </row>
    <row r="26" spans="5:21" x14ac:dyDescent="0.2">
      <c r="E26" s="4" t="s">
        <v>0</v>
      </c>
      <c r="F26" s="4" t="s">
        <v>40</v>
      </c>
      <c r="I26" s="4"/>
      <c r="J26" s="4"/>
    </row>
    <row r="27" spans="5:21" x14ac:dyDescent="0.2">
      <c r="E27" s="1" t="s">
        <v>3</v>
      </c>
      <c r="F27" s="4" t="s">
        <v>41</v>
      </c>
      <c r="I27" s="4"/>
      <c r="J27" s="4"/>
    </row>
    <row r="28" spans="5:21" x14ac:dyDescent="0.2">
      <c r="E28" s="1" t="s">
        <v>3</v>
      </c>
      <c r="F28" s="4" t="s">
        <v>42</v>
      </c>
      <c r="I28" s="4"/>
      <c r="J28" s="4"/>
    </row>
    <row r="29" spans="5:21" x14ac:dyDescent="0.2">
      <c r="E29" s="1" t="s">
        <v>3</v>
      </c>
      <c r="F29" s="4" t="s">
        <v>43</v>
      </c>
      <c r="I29" s="4"/>
      <c r="J29" s="4"/>
    </row>
    <row r="30" spans="5:21" x14ac:dyDescent="0.2">
      <c r="E30" s="1" t="s">
        <v>3</v>
      </c>
      <c r="F30" s="4" t="s">
        <v>44</v>
      </c>
      <c r="I30" s="4"/>
      <c r="J30" s="4"/>
    </row>
    <row r="31" spans="5:21" x14ac:dyDescent="0.2">
      <c r="E31" s="1" t="s">
        <v>3</v>
      </c>
      <c r="F31" s="4" t="s">
        <v>45</v>
      </c>
      <c r="I31" s="4"/>
      <c r="J31" s="4"/>
    </row>
    <row r="32" spans="5:21" x14ac:dyDescent="0.2">
      <c r="E32" s="1" t="s">
        <v>3</v>
      </c>
      <c r="F32" s="8">
        <v>45966.666666666664</v>
      </c>
      <c r="I32" s="4"/>
      <c r="J32" s="4"/>
    </row>
    <row r="33" spans="5:10" x14ac:dyDescent="0.2">
      <c r="E33" s="1" t="s">
        <v>3</v>
      </c>
      <c r="F33" s="4" t="s">
        <v>46</v>
      </c>
      <c r="I33" s="4"/>
      <c r="J33" s="4"/>
    </row>
    <row r="34" spans="5:10" x14ac:dyDescent="0.2">
      <c r="E34" s="1" t="s">
        <v>3</v>
      </c>
      <c r="F34" s="4" t="s">
        <v>47</v>
      </c>
      <c r="I34" s="4"/>
      <c r="J34" s="4"/>
    </row>
    <row r="35" spans="5:10" x14ac:dyDescent="0.2">
      <c r="E35" s="1" t="s">
        <v>3</v>
      </c>
      <c r="F35" s="4" t="s">
        <v>48</v>
      </c>
      <c r="I35" s="4"/>
      <c r="J35" s="4"/>
    </row>
    <row r="36" spans="5:10" x14ac:dyDescent="0.2">
      <c r="E36" s="1" t="s">
        <v>3</v>
      </c>
      <c r="F36" s="4" t="s">
        <v>49</v>
      </c>
      <c r="I36" s="4"/>
      <c r="J36" s="4"/>
    </row>
    <row r="37" spans="5:10" x14ac:dyDescent="0.2">
      <c r="E37" s="1" t="s">
        <v>3</v>
      </c>
      <c r="F37" s="4" t="s">
        <v>50</v>
      </c>
      <c r="I37" s="4"/>
      <c r="J37" s="4"/>
    </row>
    <row r="38" spans="5:10" x14ac:dyDescent="0.2">
      <c r="E38" s="1" t="s">
        <v>3</v>
      </c>
      <c r="F38" s="4" t="s">
        <v>51</v>
      </c>
      <c r="I38" s="4"/>
      <c r="J38" s="4"/>
    </row>
    <row r="39" spans="5:10" x14ac:dyDescent="0.2">
      <c r="E39" s="1" t="s">
        <v>3</v>
      </c>
      <c r="F39" s="4" t="s">
        <v>52</v>
      </c>
      <c r="I39" s="4"/>
      <c r="J39" s="4"/>
    </row>
    <row r="40" spans="5:10" x14ac:dyDescent="0.2">
      <c r="E40" s="1" t="s">
        <v>3</v>
      </c>
      <c r="F40" s="4" t="s">
        <v>53</v>
      </c>
      <c r="I40" s="4"/>
      <c r="J40" s="4"/>
    </row>
    <row r="41" spans="5:10" x14ac:dyDescent="0.2">
      <c r="E41" s="1" t="s">
        <v>3</v>
      </c>
      <c r="F41" s="4" t="s">
        <v>54</v>
      </c>
      <c r="I41" s="4"/>
      <c r="J41" s="4"/>
    </row>
    <row r="42" spans="5:10" x14ac:dyDescent="0.2">
      <c r="E42" s="1" t="s">
        <v>3</v>
      </c>
      <c r="F42" s="4" t="s">
        <v>55</v>
      </c>
      <c r="I42" s="4"/>
      <c r="J42" s="4"/>
    </row>
    <row r="43" spans="5:10" x14ac:dyDescent="0.2">
      <c r="E43" s="1" t="s">
        <v>3</v>
      </c>
      <c r="F43" s="4" t="s">
        <v>56</v>
      </c>
      <c r="I43" s="4"/>
      <c r="J43" s="4"/>
    </row>
    <row r="44" spans="5:10" x14ac:dyDescent="0.2">
      <c r="E44" s="1" t="s">
        <v>3</v>
      </c>
      <c r="F44" s="4" t="s">
        <v>57</v>
      </c>
      <c r="I44" s="4"/>
      <c r="J44" s="4"/>
    </row>
    <row r="45" spans="5:10" x14ac:dyDescent="0.2">
      <c r="E45" s="1" t="s">
        <v>3</v>
      </c>
      <c r="F45" s="4" t="s">
        <v>58</v>
      </c>
      <c r="I45" s="4"/>
      <c r="J45" s="4"/>
    </row>
    <row r="46" spans="5:10" x14ac:dyDescent="0.2">
      <c r="E46" s="1" t="s">
        <v>3</v>
      </c>
      <c r="F46" s="4" t="s">
        <v>59</v>
      </c>
      <c r="I46" s="4"/>
      <c r="J46" s="4"/>
    </row>
    <row r="47" spans="5:10" x14ac:dyDescent="0.2">
      <c r="E47" s="1" t="s">
        <v>3</v>
      </c>
      <c r="F47" s="4" t="s">
        <v>60</v>
      </c>
      <c r="I47" s="4"/>
      <c r="J47" s="4"/>
    </row>
    <row r="48" spans="5:10" x14ac:dyDescent="0.2">
      <c r="E48" s="1" t="s">
        <v>3</v>
      </c>
      <c r="F48" s="4" t="s">
        <v>61</v>
      </c>
      <c r="I48" s="4"/>
      <c r="J48" s="4"/>
    </row>
    <row r="49" spans="5:10" x14ac:dyDescent="0.2">
      <c r="E49" s="1" t="s">
        <v>3</v>
      </c>
      <c r="F49" s="4" t="s">
        <v>62</v>
      </c>
      <c r="I49" s="4"/>
      <c r="J49" s="4"/>
    </row>
    <row r="50" spans="5:10" x14ac:dyDescent="0.2">
      <c r="E50" s="4" t="s">
        <v>63</v>
      </c>
      <c r="F50" s="4" t="s">
        <v>64</v>
      </c>
      <c r="I50" s="4"/>
      <c r="J50" s="4"/>
    </row>
    <row r="51" spans="5:10" x14ac:dyDescent="0.2">
      <c r="E51" s="4" t="s">
        <v>63</v>
      </c>
      <c r="F51" s="4" t="s">
        <v>65</v>
      </c>
      <c r="I51" s="4"/>
      <c r="J51" s="4"/>
    </row>
    <row r="52" spans="5:10" x14ac:dyDescent="0.2">
      <c r="E52" s="4" t="s">
        <v>63</v>
      </c>
      <c r="F52" s="4" t="s">
        <v>66</v>
      </c>
      <c r="I52" s="4"/>
      <c r="J52" s="4"/>
    </row>
    <row r="53" spans="5:10" x14ac:dyDescent="0.2">
      <c r="E53" s="4" t="s">
        <v>63</v>
      </c>
      <c r="F53" s="4" t="s">
        <v>44</v>
      </c>
      <c r="I53" s="4"/>
      <c r="J53" s="4"/>
    </row>
    <row r="54" spans="5:10" x14ac:dyDescent="0.2">
      <c r="E54" s="4" t="s">
        <v>63</v>
      </c>
      <c r="F54" s="4" t="s">
        <v>67</v>
      </c>
      <c r="I54" s="4"/>
      <c r="J54" s="4"/>
    </row>
    <row r="55" spans="5:10" x14ac:dyDescent="0.2">
      <c r="E55" s="4" t="s">
        <v>63</v>
      </c>
      <c r="F55" s="4" t="s">
        <v>68</v>
      </c>
      <c r="I55" s="4"/>
      <c r="J55" s="4"/>
    </row>
    <row r="56" spans="5:10" x14ac:dyDescent="0.2">
      <c r="E56" s="4" t="s">
        <v>63</v>
      </c>
      <c r="F56" s="4" t="s">
        <v>69</v>
      </c>
      <c r="I56" s="4"/>
      <c r="J56" s="4"/>
    </row>
    <row r="57" spans="5:10" x14ac:dyDescent="0.2">
      <c r="E57" s="4" t="s">
        <v>63</v>
      </c>
      <c r="F57" s="4" t="s">
        <v>70</v>
      </c>
      <c r="I57" s="4"/>
      <c r="J57" s="4"/>
    </row>
    <row r="58" spans="5:10" x14ac:dyDescent="0.2">
      <c r="E58" s="4" t="s">
        <v>63</v>
      </c>
      <c r="F58" s="6">
        <v>45968.333333333336</v>
      </c>
      <c r="I58" s="4"/>
      <c r="J58" s="4"/>
    </row>
    <row r="59" spans="5:10" x14ac:dyDescent="0.2">
      <c r="E59" s="4" t="s">
        <v>63</v>
      </c>
      <c r="F59" s="4" t="s">
        <v>71</v>
      </c>
      <c r="I59" s="4"/>
      <c r="J59" s="4"/>
    </row>
    <row r="60" spans="5:10" x14ac:dyDescent="0.2">
      <c r="E60" s="4" t="s">
        <v>63</v>
      </c>
      <c r="F60" s="4" t="s">
        <v>72</v>
      </c>
      <c r="I60" s="4"/>
      <c r="J60" s="4"/>
    </row>
    <row r="61" spans="5:10" x14ac:dyDescent="0.2">
      <c r="E61" s="4" t="s">
        <v>63</v>
      </c>
      <c r="F61" s="4" t="s">
        <v>73</v>
      </c>
      <c r="I61" s="4"/>
      <c r="J61" s="4"/>
    </row>
    <row r="62" spans="5:10" x14ac:dyDescent="0.2">
      <c r="E62" s="4" t="s">
        <v>63</v>
      </c>
      <c r="F62" s="4" t="s">
        <v>74</v>
      </c>
      <c r="I62" s="4"/>
      <c r="J62" s="4"/>
    </row>
    <row r="63" spans="5:10" x14ac:dyDescent="0.2">
      <c r="E63" s="4" t="s">
        <v>63</v>
      </c>
      <c r="F63" s="4" t="s">
        <v>75</v>
      </c>
      <c r="I63" s="4"/>
      <c r="J63" s="4"/>
    </row>
    <row r="64" spans="5:10" x14ac:dyDescent="0.2">
      <c r="E64" s="4" t="s">
        <v>63</v>
      </c>
      <c r="F64" s="4" t="s">
        <v>76</v>
      </c>
      <c r="I64" s="4"/>
      <c r="J64" s="4"/>
    </row>
    <row r="65" spans="5:10" x14ac:dyDescent="0.2">
      <c r="E65" s="4" t="s">
        <v>63</v>
      </c>
      <c r="F65" s="4" t="s">
        <v>77</v>
      </c>
      <c r="I65" s="4"/>
      <c r="J65" s="4"/>
    </row>
    <row r="66" spans="5:10" x14ac:dyDescent="0.2">
      <c r="E66" s="4" t="s">
        <v>63</v>
      </c>
      <c r="F66" s="4" t="s">
        <v>78</v>
      </c>
      <c r="I66" s="4"/>
      <c r="J66" s="4"/>
    </row>
    <row r="67" spans="5:10" x14ac:dyDescent="0.2">
      <c r="E67" s="4" t="s">
        <v>63</v>
      </c>
      <c r="F67" s="4" t="s">
        <v>79</v>
      </c>
      <c r="I67" s="4"/>
      <c r="J67" s="4"/>
    </row>
    <row r="68" spans="5:10" x14ac:dyDescent="0.2">
      <c r="E68" s="4" t="s">
        <v>63</v>
      </c>
      <c r="F68" s="4" t="s">
        <v>80</v>
      </c>
      <c r="I68" s="4"/>
      <c r="J68" s="4"/>
    </row>
    <row r="69" spans="5:10" x14ac:dyDescent="0.2">
      <c r="E69" s="4" t="s">
        <v>63</v>
      </c>
      <c r="F69" s="4" t="s">
        <v>81</v>
      </c>
      <c r="I69" s="4"/>
      <c r="J69" s="4"/>
    </row>
    <row r="70" spans="5:10" x14ac:dyDescent="0.2">
      <c r="E70" s="4" t="s">
        <v>63</v>
      </c>
      <c r="F70" s="4" t="s">
        <v>82</v>
      </c>
      <c r="I70" s="4"/>
      <c r="J70" s="4"/>
    </row>
    <row r="71" spans="5:10" x14ac:dyDescent="0.2">
      <c r="E71" s="4" t="s">
        <v>63</v>
      </c>
      <c r="F71" s="4" t="s">
        <v>83</v>
      </c>
      <c r="I71" s="4"/>
      <c r="J71" s="4"/>
    </row>
    <row r="72" spans="5:10" x14ac:dyDescent="0.2">
      <c r="E72" s="4" t="s">
        <v>63</v>
      </c>
      <c r="F72" s="4" t="s">
        <v>84</v>
      </c>
      <c r="I72" s="4"/>
      <c r="J72" s="4"/>
    </row>
    <row r="73" spans="5:10" x14ac:dyDescent="0.2">
      <c r="E73" s="4" t="s">
        <v>85</v>
      </c>
      <c r="F73" s="4" t="s">
        <v>86</v>
      </c>
      <c r="I73" s="4"/>
      <c r="J73" s="4"/>
    </row>
    <row r="74" spans="5:10" x14ac:dyDescent="0.2">
      <c r="E74" s="4" t="s">
        <v>85</v>
      </c>
      <c r="F74" s="4" t="s">
        <v>87</v>
      </c>
      <c r="I74" s="4"/>
      <c r="J74" s="4"/>
    </row>
    <row r="75" spans="5:10" x14ac:dyDescent="0.2">
      <c r="E75" s="4" t="s">
        <v>85</v>
      </c>
      <c r="F75" s="4" t="s">
        <v>88</v>
      </c>
      <c r="I75" s="4"/>
      <c r="J75" s="4"/>
    </row>
    <row r="76" spans="5:10" x14ac:dyDescent="0.2">
      <c r="E76" s="4" t="s">
        <v>85</v>
      </c>
      <c r="F76" s="4" t="s">
        <v>89</v>
      </c>
      <c r="I76" s="4"/>
      <c r="J76" s="4"/>
    </row>
    <row r="77" spans="5:10" x14ac:dyDescent="0.2">
      <c r="E77" s="4" t="s">
        <v>85</v>
      </c>
      <c r="F77" s="4" t="s">
        <v>90</v>
      </c>
      <c r="I77" s="4"/>
      <c r="J77" s="4"/>
    </row>
    <row r="78" spans="5:10" x14ac:dyDescent="0.2">
      <c r="E78" s="4" t="s">
        <v>85</v>
      </c>
      <c r="F78" s="4" t="s">
        <v>91</v>
      </c>
      <c r="I78" s="4"/>
      <c r="J78" s="4"/>
    </row>
    <row r="79" spans="5:10" x14ac:dyDescent="0.2">
      <c r="E79" s="4" t="s">
        <v>85</v>
      </c>
      <c r="F79" s="4" t="s">
        <v>92</v>
      </c>
      <c r="I79" s="4"/>
      <c r="J79" s="4"/>
    </row>
    <row r="80" spans="5:10" x14ac:dyDescent="0.2">
      <c r="E80" s="4" t="s">
        <v>85</v>
      </c>
      <c r="F80" s="4" t="s">
        <v>93</v>
      </c>
      <c r="I80" s="4"/>
      <c r="J80" s="4"/>
    </row>
    <row r="81" spans="1:10" x14ac:dyDescent="0.2">
      <c r="E81" s="4" t="s">
        <v>85</v>
      </c>
      <c r="F81" s="4" t="s">
        <v>94</v>
      </c>
      <c r="I81" s="4"/>
      <c r="J81" s="4"/>
    </row>
    <row r="82" spans="1:10" x14ac:dyDescent="0.2">
      <c r="E82" s="4" t="s">
        <v>85</v>
      </c>
      <c r="F82" s="4" t="s">
        <v>95</v>
      </c>
      <c r="I82" s="4"/>
      <c r="J82" s="4"/>
    </row>
    <row r="83" spans="1:10" x14ac:dyDescent="0.2">
      <c r="E83" s="4" t="s">
        <v>85</v>
      </c>
      <c r="F83" s="4" t="s">
        <v>96</v>
      </c>
      <c r="I83" s="4"/>
      <c r="J83" s="4"/>
    </row>
    <row r="84" spans="1:10" x14ac:dyDescent="0.2">
      <c r="E84" s="4" t="s">
        <v>85</v>
      </c>
      <c r="F84" s="4" t="s">
        <v>97</v>
      </c>
      <c r="I84" s="4"/>
      <c r="J84" s="4"/>
    </row>
    <row r="85" spans="1:10" x14ac:dyDescent="0.2">
      <c r="E85" s="4" t="s">
        <v>85</v>
      </c>
      <c r="F85" s="4" t="s">
        <v>98</v>
      </c>
      <c r="I85" s="4"/>
      <c r="J85" s="4"/>
    </row>
    <row r="86" spans="1:10" x14ac:dyDescent="0.2">
      <c r="E86" s="4" t="s">
        <v>85</v>
      </c>
      <c r="F86" s="4" t="s">
        <v>99</v>
      </c>
      <c r="I86" s="4"/>
      <c r="J86" s="4"/>
    </row>
    <row r="87" spans="1:10" x14ac:dyDescent="0.2">
      <c r="E87" s="4" t="s">
        <v>85</v>
      </c>
      <c r="F87" s="4" t="s">
        <v>100</v>
      </c>
      <c r="I87" s="4"/>
      <c r="J87" s="4"/>
    </row>
    <row r="88" spans="1:10" x14ac:dyDescent="0.2">
      <c r="E88" s="4" t="s">
        <v>85</v>
      </c>
      <c r="F88" s="4" t="s">
        <v>101</v>
      </c>
      <c r="I88" s="4"/>
      <c r="J88" s="4"/>
    </row>
    <row r="89" spans="1:10" x14ac:dyDescent="0.2">
      <c r="E89" s="4" t="s">
        <v>85</v>
      </c>
      <c r="F89" s="4" t="s">
        <v>102</v>
      </c>
      <c r="I89" s="4"/>
      <c r="J89" s="4"/>
    </row>
    <row r="90" spans="1:10" x14ac:dyDescent="0.2">
      <c r="E90" s="4" t="s">
        <v>85</v>
      </c>
      <c r="F90" s="4" t="s">
        <v>103</v>
      </c>
      <c r="I90" s="4"/>
      <c r="J90" s="4"/>
    </row>
    <row r="91" spans="1:10" x14ac:dyDescent="0.2">
      <c r="E91" s="4" t="s">
        <v>85</v>
      </c>
      <c r="F91" s="4" t="s">
        <v>104</v>
      </c>
      <c r="I91" s="4"/>
      <c r="J91" s="4"/>
    </row>
    <row r="92" spans="1:10" x14ac:dyDescent="0.2">
      <c r="A92" s="1"/>
      <c r="B92" s="5"/>
      <c r="E92" s="4" t="s">
        <v>85</v>
      </c>
      <c r="F92" s="4" t="s">
        <v>105</v>
      </c>
      <c r="I92" s="4"/>
      <c r="J92" s="4"/>
    </row>
    <row r="93" spans="1:10" x14ac:dyDescent="0.2">
      <c r="A93" s="1"/>
      <c r="B93" s="5"/>
      <c r="E93" s="4" t="s">
        <v>85</v>
      </c>
      <c r="F93" s="4" t="s">
        <v>106</v>
      </c>
      <c r="I93" s="4"/>
      <c r="J93" s="4"/>
    </row>
    <row r="94" spans="1:10" x14ac:dyDescent="0.2">
      <c r="A94" s="1"/>
      <c r="B94" s="5"/>
      <c r="E94" s="4" t="s">
        <v>85</v>
      </c>
      <c r="F94" s="4" t="s">
        <v>107</v>
      </c>
      <c r="I94" s="4"/>
      <c r="J94" s="4"/>
    </row>
    <row r="95" spans="1:10" x14ac:dyDescent="0.2">
      <c r="A95" s="1"/>
      <c r="B95" s="5"/>
      <c r="E95" s="4" t="s">
        <v>85</v>
      </c>
      <c r="F95" s="4" t="s">
        <v>108</v>
      </c>
      <c r="I95" s="4"/>
      <c r="J95" s="4"/>
    </row>
    <row r="96" spans="1:10" x14ac:dyDescent="0.2">
      <c r="A96" s="1"/>
      <c r="B96" s="5"/>
      <c r="E96" s="4" t="s">
        <v>85</v>
      </c>
      <c r="F96" s="4" t="s">
        <v>109</v>
      </c>
      <c r="I96" s="4"/>
      <c r="J96" s="4"/>
    </row>
    <row r="97" spans="1:10" x14ac:dyDescent="0.2">
      <c r="A97" s="1"/>
      <c r="B97" s="5"/>
      <c r="E97" s="4" t="s">
        <v>85</v>
      </c>
      <c r="F97" s="4" t="s">
        <v>110</v>
      </c>
      <c r="I97" s="4"/>
      <c r="J97" s="4"/>
    </row>
    <row r="98" spans="1:10" x14ac:dyDescent="0.2">
      <c r="A98" s="1"/>
      <c r="B98" s="5"/>
      <c r="E98" s="4" t="s">
        <v>85</v>
      </c>
      <c r="F98" s="4" t="s">
        <v>111</v>
      </c>
      <c r="I98" s="4"/>
      <c r="J98" s="4"/>
    </row>
    <row r="99" spans="1:10" x14ac:dyDescent="0.2">
      <c r="A99" s="1"/>
      <c r="B99" s="5"/>
      <c r="E99" s="4" t="s">
        <v>85</v>
      </c>
      <c r="F99" s="4" t="s">
        <v>112</v>
      </c>
      <c r="I99" s="4"/>
      <c r="J99" s="4"/>
    </row>
    <row r="100" spans="1:10" x14ac:dyDescent="0.2">
      <c r="A100" s="1"/>
      <c r="B100" s="5"/>
      <c r="E100" s="4" t="s">
        <v>85</v>
      </c>
      <c r="F100" s="4" t="s">
        <v>113</v>
      </c>
      <c r="I100" s="4"/>
      <c r="J100" s="4"/>
    </row>
    <row r="101" spans="1:10" x14ac:dyDescent="0.2">
      <c r="A101" s="1"/>
      <c r="B101" s="5"/>
      <c r="E101" s="4" t="s">
        <v>85</v>
      </c>
      <c r="F101" s="4" t="s">
        <v>114</v>
      </c>
      <c r="I101" s="4"/>
      <c r="J101" s="4"/>
    </row>
    <row r="102" spans="1:10" x14ac:dyDescent="0.2">
      <c r="A102" s="1"/>
      <c r="B102" s="5"/>
      <c r="E102" s="4" t="s">
        <v>85</v>
      </c>
      <c r="F102" s="4" t="s">
        <v>115</v>
      </c>
      <c r="I102" s="4"/>
      <c r="J102" s="4"/>
    </row>
    <row r="103" spans="1:10" x14ac:dyDescent="0.2">
      <c r="A103" s="1"/>
      <c r="B103" s="5"/>
      <c r="E103" s="4" t="s">
        <v>85</v>
      </c>
      <c r="F103" s="4" t="s">
        <v>116</v>
      </c>
      <c r="I103" s="4"/>
      <c r="J103" s="4"/>
    </row>
    <row r="104" spans="1:10" x14ac:dyDescent="0.2">
      <c r="A104" s="1"/>
      <c r="B104" s="5"/>
      <c r="E104" s="4" t="s">
        <v>117</v>
      </c>
      <c r="F104" s="4" t="s">
        <v>118</v>
      </c>
      <c r="I104" s="4"/>
      <c r="J104" s="4"/>
    </row>
    <row r="105" spans="1:10" x14ac:dyDescent="0.2">
      <c r="A105" s="1"/>
      <c r="B105" s="5"/>
      <c r="E105" s="4" t="s">
        <v>117</v>
      </c>
      <c r="F105" s="4" t="s">
        <v>119</v>
      </c>
      <c r="I105" s="4"/>
      <c r="J105" s="4"/>
    </row>
    <row r="106" spans="1:10" x14ac:dyDescent="0.2">
      <c r="A106" s="1"/>
      <c r="B106" s="5"/>
      <c r="E106" s="4" t="s">
        <v>117</v>
      </c>
      <c r="F106" s="4" t="s">
        <v>120</v>
      </c>
      <c r="I106" s="4"/>
      <c r="J106" s="4"/>
    </row>
    <row r="107" spans="1:10" x14ac:dyDescent="0.2">
      <c r="A107" s="1"/>
      <c r="B107" s="5"/>
      <c r="E107" s="4" t="s">
        <v>117</v>
      </c>
      <c r="F107" s="4" t="s">
        <v>121</v>
      </c>
      <c r="I107" s="4"/>
      <c r="J107" s="4"/>
    </row>
    <row r="108" spans="1:10" x14ac:dyDescent="0.2">
      <c r="A108" s="1"/>
      <c r="B108" s="5"/>
      <c r="E108" s="4" t="s">
        <v>117</v>
      </c>
      <c r="F108" s="4" t="s">
        <v>122</v>
      </c>
      <c r="I108" s="4"/>
      <c r="J108" s="4"/>
    </row>
    <row r="109" spans="1:10" x14ac:dyDescent="0.2">
      <c r="A109" s="1"/>
      <c r="B109" s="5"/>
      <c r="E109" s="4" t="s">
        <v>117</v>
      </c>
      <c r="F109" s="4" t="s">
        <v>123</v>
      </c>
      <c r="I109" s="4"/>
      <c r="J109" s="4"/>
    </row>
    <row r="110" spans="1:10" x14ac:dyDescent="0.2">
      <c r="A110" s="1"/>
      <c r="B110" s="5"/>
      <c r="E110" s="4" t="s">
        <v>117</v>
      </c>
      <c r="F110" s="4" t="s">
        <v>124</v>
      </c>
      <c r="I110" s="4"/>
      <c r="J110" s="4"/>
    </row>
    <row r="111" spans="1:10" x14ac:dyDescent="0.2">
      <c r="A111" s="1"/>
      <c r="B111" s="5"/>
      <c r="E111" s="4" t="s">
        <v>117</v>
      </c>
      <c r="F111" s="4" t="s">
        <v>125</v>
      </c>
      <c r="I111" s="4"/>
      <c r="J111" s="4"/>
    </row>
    <row r="112" spans="1:10" x14ac:dyDescent="0.2">
      <c r="A112" s="1"/>
      <c r="B112" s="5"/>
      <c r="E112" s="4" t="s">
        <v>117</v>
      </c>
      <c r="F112" s="4" t="s">
        <v>126</v>
      </c>
      <c r="I112" s="4"/>
      <c r="J112" s="4"/>
    </row>
    <row r="113" spans="1:10" x14ac:dyDescent="0.2">
      <c r="A113" s="1"/>
      <c r="B113" s="5"/>
      <c r="E113" s="4" t="s">
        <v>117</v>
      </c>
      <c r="F113" s="4" t="s">
        <v>127</v>
      </c>
      <c r="I113" s="4"/>
      <c r="J113" s="4"/>
    </row>
    <row r="114" spans="1:10" x14ac:dyDescent="0.2">
      <c r="A114" s="1"/>
      <c r="B114" s="5"/>
      <c r="E114" s="4" t="s">
        <v>117</v>
      </c>
      <c r="F114" s="4" t="s">
        <v>27</v>
      </c>
      <c r="I114" s="4"/>
      <c r="J114" s="4"/>
    </row>
    <row r="115" spans="1:10" x14ac:dyDescent="0.2">
      <c r="A115" s="1"/>
      <c r="B115" s="5"/>
      <c r="E115" s="4" t="s">
        <v>117</v>
      </c>
      <c r="F115" s="4" t="s">
        <v>128</v>
      </c>
      <c r="I115" s="4"/>
      <c r="J115" s="4"/>
    </row>
    <row r="116" spans="1:10" x14ac:dyDescent="0.2">
      <c r="A116" s="1"/>
      <c r="B116" s="5"/>
      <c r="E116" s="4" t="s">
        <v>117</v>
      </c>
      <c r="F116" s="4" t="s">
        <v>129</v>
      </c>
      <c r="I116" s="4"/>
      <c r="J116" s="4"/>
    </row>
    <row r="117" spans="1:10" x14ac:dyDescent="0.2">
      <c r="A117" s="1"/>
      <c r="B117" s="5"/>
      <c r="E117" s="4" t="s">
        <v>117</v>
      </c>
      <c r="F117" s="4" t="s">
        <v>130</v>
      </c>
      <c r="I117" s="4"/>
      <c r="J117" s="4"/>
    </row>
    <row r="118" spans="1:10" x14ac:dyDescent="0.2">
      <c r="A118" s="1"/>
      <c r="B118" s="5"/>
      <c r="E118" s="4" t="s">
        <v>117</v>
      </c>
      <c r="F118" s="4" t="s">
        <v>131</v>
      </c>
      <c r="I118" s="4"/>
      <c r="J118" s="4"/>
    </row>
    <row r="119" spans="1:10" x14ac:dyDescent="0.2">
      <c r="A119" s="1"/>
      <c r="B119" s="5"/>
      <c r="E119" s="4" t="s">
        <v>117</v>
      </c>
      <c r="F119" s="4" t="s">
        <v>77</v>
      </c>
      <c r="I119" s="4"/>
      <c r="J119" s="4"/>
    </row>
    <row r="120" spans="1:10" x14ac:dyDescent="0.2">
      <c r="A120" s="1"/>
      <c r="B120" s="5"/>
      <c r="E120" s="4" t="s">
        <v>117</v>
      </c>
      <c r="F120" s="4" t="s">
        <v>132</v>
      </c>
      <c r="I120" s="4"/>
      <c r="J120" s="4"/>
    </row>
    <row r="121" spans="1:10" x14ac:dyDescent="0.2">
      <c r="A121" s="1"/>
      <c r="B121" s="5"/>
      <c r="E121" s="4" t="s">
        <v>117</v>
      </c>
      <c r="F121" s="6">
        <v>45975.333333333336</v>
      </c>
      <c r="I121" s="4"/>
      <c r="J121" s="4"/>
    </row>
    <row r="122" spans="1:10" x14ac:dyDescent="0.2">
      <c r="A122" s="1"/>
      <c r="B122" s="5"/>
      <c r="E122" s="4" t="s">
        <v>117</v>
      </c>
      <c r="F122" s="4" t="s">
        <v>133</v>
      </c>
      <c r="I122" s="4"/>
      <c r="J122" s="4"/>
    </row>
    <row r="123" spans="1:10" x14ac:dyDescent="0.2">
      <c r="A123" s="1"/>
      <c r="B123" s="5"/>
      <c r="E123" s="4" t="s">
        <v>117</v>
      </c>
      <c r="F123" s="4" t="s">
        <v>134</v>
      </c>
      <c r="I123" s="4"/>
      <c r="J123" s="4"/>
    </row>
    <row r="124" spans="1:10" x14ac:dyDescent="0.2">
      <c r="A124" s="1"/>
      <c r="B124" s="5"/>
      <c r="E124" s="4" t="s">
        <v>117</v>
      </c>
      <c r="F124" s="4" t="s">
        <v>135</v>
      </c>
      <c r="I124" s="4"/>
      <c r="J124" s="4"/>
    </row>
    <row r="125" spans="1:10" x14ac:dyDescent="0.2">
      <c r="A125" s="1"/>
      <c r="B125" s="5"/>
      <c r="E125" s="1" t="s">
        <v>11</v>
      </c>
      <c r="F125" s="4" t="s">
        <v>136</v>
      </c>
      <c r="I125" s="4"/>
      <c r="J125" s="4"/>
    </row>
    <row r="126" spans="1:10" x14ac:dyDescent="0.2">
      <c r="A126" s="1"/>
      <c r="B126" s="5"/>
      <c r="E126" s="1" t="s">
        <v>11</v>
      </c>
      <c r="F126" s="4" t="s">
        <v>137</v>
      </c>
      <c r="I126" s="4"/>
      <c r="J126" s="4"/>
    </row>
    <row r="127" spans="1:10" x14ac:dyDescent="0.2">
      <c r="A127" s="1"/>
      <c r="B127" s="5"/>
      <c r="E127" s="1" t="s">
        <v>11</v>
      </c>
      <c r="F127" s="4" t="s">
        <v>122</v>
      </c>
      <c r="I127" s="4"/>
      <c r="J127" s="4"/>
    </row>
    <row r="128" spans="1:10" x14ac:dyDescent="0.2">
      <c r="A128" s="1"/>
      <c r="B128" s="5"/>
      <c r="E128" s="1" t="s">
        <v>11</v>
      </c>
      <c r="F128" s="4" t="s">
        <v>138</v>
      </c>
      <c r="I128" s="4"/>
      <c r="J128" s="4"/>
    </row>
    <row r="129" spans="1:10" x14ac:dyDescent="0.2">
      <c r="A129" s="1"/>
      <c r="B129" s="5"/>
      <c r="E129" s="1" t="s">
        <v>11</v>
      </c>
      <c r="F129" s="4" t="s">
        <v>139</v>
      </c>
      <c r="I129" s="4"/>
      <c r="J129" s="4"/>
    </row>
    <row r="130" spans="1:10" x14ac:dyDescent="0.2">
      <c r="A130" s="1"/>
      <c r="B130" s="5"/>
      <c r="E130" s="1" t="s">
        <v>11</v>
      </c>
      <c r="F130" s="4" t="s">
        <v>140</v>
      </c>
      <c r="I130" s="4"/>
      <c r="J130" s="4"/>
    </row>
    <row r="131" spans="1:10" x14ac:dyDescent="0.2">
      <c r="A131" s="1"/>
      <c r="B131" s="5"/>
      <c r="E131" s="1" t="s">
        <v>11</v>
      </c>
      <c r="F131" s="4" t="s">
        <v>141</v>
      </c>
      <c r="I131" s="4"/>
      <c r="J131" s="4"/>
    </row>
    <row r="132" spans="1:10" x14ac:dyDescent="0.2">
      <c r="A132" s="1"/>
      <c r="B132" s="5"/>
      <c r="E132" s="1" t="s">
        <v>11</v>
      </c>
      <c r="F132" s="4" t="s">
        <v>142</v>
      </c>
      <c r="I132" s="4"/>
      <c r="J132" s="4"/>
    </row>
    <row r="133" spans="1:10" x14ac:dyDescent="0.2">
      <c r="E133" s="1" t="s">
        <v>11</v>
      </c>
      <c r="F133" s="4" t="s">
        <v>143</v>
      </c>
      <c r="I133" s="4"/>
      <c r="J133" s="4"/>
    </row>
    <row r="134" spans="1:10" x14ac:dyDescent="0.2">
      <c r="E134" s="4" t="s">
        <v>13</v>
      </c>
      <c r="F134" s="4" t="s">
        <v>144</v>
      </c>
      <c r="I134" s="4"/>
      <c r="J134" s="4"/>
    </row>
    <row r="135" spans="1:10" x14ac:dyDescent="0.2">
      <c r="E135" s="4" t="s">
        <v>13</v>
      </c>
      <c r="F135" s="4" t="s">
        <v>119</v>
      </c>
      <c r="I135" s="4"/>
      <c r="J135" s="4"/>
    </row>
    <row r="136" spans="1:10" x14ac:dyDescent="0.2">
      <c r="E136" s="4" t="s">
        <v>13</v>
      </c>
      <c r="F136" s="4" t="s">
        <v>145</v>
      </c>
      <c r="I136" s="4"/>
      <c r="J136" s="4"/>
    </row>
    <row r="137" spans="1:10" x14ac:dyDescent="0.2">
      <c r="E137" s="4" t="s">
        <v>13</v>
      </c>
      <c r="F137" s="4" t="s">
        <v>44</v>
      </c>
      <c r="I137" s="4"/>
      <c r="J137" s="4"/>
    </row>
    <row r="138" spans="1:10" x14ac:dyDescent="0.2">
      <c r="E138" s="4" t="s">
        <v>13</v>
      </c>
      <c r="F138" s="4" t="s">
        <v>146</v>
      </c>
      <c r="I138" s="4"/>
      <c r="J138" s="4"/>
    </row>
    <row r="139" spans="1:10" x14ac:dyDescent="0.2">
      <c r="E139" s="4" t="s">
        <v>13</v>
      </c>
      <c r="F139" s="4" t="s">
        <v>147</v>
      </c>
      <c r="I139" s="4"/>
      <c r="J139" s="4"/>
    </row>
    <row r="140" spans="1:10" x14ac:dyDescent="0.2">
      <c r="E140" s="1" t="s">
        <v>15</v>
      </c>
      <c r="F140" s="4" t="s">
        <v>148</v>
      </c>
      <c r="I140" s="4"/>
      <c r="J140" s="4"/>
    </row>
    <row r="141" spans="1:10" x14ac:dyDescent="0.2">
      <c r="E141" s="1" t="s">
        <v>15</v>
      </c>
      <c r="F141" s="4" t="s">
        <v>149</v>
      </c>
      <c r="I141" s="4"/>
      <c r="J141" s="4"/>
    </row>
    <row r="142" spans="1:10" x14ac:dyDescent="0.2">
      <c r="E142" s="1" t="s">
        <v>15</v>
      </c>
      <c r="F142" s="4" t="s">
        <v>150</v>
      </c>
      <c r="I142" s="4"/>
      <c r="J142" s="4"/>
    </row>
    <row r="143" spans="1:10" x14ac:dyDescent="0.2">
      <c r="E143" s="1" t="s">
        <v>15</v>
      </c>
      <c r="F143" s="4" t="s">
        <v>151</v>
      </c>
      <c r="I143" s="4"/>
      <c r="J143" s="4"/>
    </row>
    <row r="144" spans="1:10" x14ac:dyDescent="0.2">
      <c r="E144" s="1" t="s">
        <v>15</v>
      </c>
      <c r="F144" s="4" t="s">
        <v>152</v>
      </c>
      <c r="I144" s="4"/>
      <c r="J144" s="4"/>
    </row>
    <row r="145" spans="5:10" x14ac:dyDescent="0.2">
      <c r="E145" s="1" t="s">
        <v>15</v>
      </c>
      <c r="F145" s="4" t="s">
        <v>153</v>
      </c>
      <c r="I145" s="4"/>
      <c r="J145" s="4"/>
    </row>
    <row r="146" spans="5:10" x14ac:dyDescent="0.2">
      <c r="E146" s="1" t="s">
        <v>15</v>
      </c>
      <c r="F146" s="4" t="s">
        <v>154</v>
      </c>
      <c r="I146" s="4"/>
      <c r="J146" s="4"/>
    </row>
    <row r="147" spans="5:10" x14ac:dyDescent="0.2">
      <c r="E147" s="1" t="s">
        <v>15</v>
      </c>
      <c r="F147" s="4" t="s">
        <v>155</v>
      </c>
      <c r="I147" s="4"/>
      <c r="J147" s="4"/>
    </row>
    <row r="148" spans="5:10" x14ac:dyDescent="0.2">
      <c r="E148" s="1" t="s">
        <v>15</v>
      </c>
      <c r="F148" s="4" t="s">
        <v>156</v>
      </c>
      <c r="I148" s="4"/>
      <c r="J148" s="4"/>
    </row>
    <row r="149" spans="5:10" x14ac:dyDescent="0.2">
      <c r="E149" s="1" t="s">
        <v>15</v>
      </c>
      <c r="F149" s="4" t="s">
        <v>157</v>
      </c>
      <c r="I149" s="4"/>
      <c r="J149" s="4"/>
    </row>
    <row r="150" spans="5:10" x14ac:dyDescent="0.2">
      <c r="E150" s="1" t="s">
        <v>15</v>
      </c>
      <c r="F150" s="4" t="s">
        <v>158</v>
      </c>
      <c r="I150" s="4"/>
      <c r="J150" s="4"/>
    </row>
    <row r="151" spans="5:10" x14ac:dyDescent="0.2">
      <c r="E151" s="1" t="s">
        <v>15</v>
      </c>
      <c r="F151" s="4" t="s">
        <v>159</v>
      </c>
      <c r="I151" s="4"/>
      <c r="J151" s="4"/>
    </row>
    <row r="152" spans="5:10" x14ac:dyDescent="0.2">
      <c r="E152" s="1" t="s">
        <v>15</v>
      </c>
      <c r="F152" s="4" t="s">
        <v>160</v>
      </c>
      <c r="I152" s="4"/>
      <c r="J152" s="4"/>
    </row>
    <row r="153" spans="5:10" x14ac:dyDescent="0.2">
      <c r="E153" s="1" t="s">
        <v>15</v>
      </c>
      <c r="F153" s="4" t="s">
        <v>161</v>
      </c>
      <c r="I153" s="4"/>
      <c r="J153" s="4"/>
    </row>
    <row r="154" spans="5:10" x14ac:dyDescent="0.2">
      <c r="E154" s="1" t="s">
        <v>15</v>
      </c>
      <c r="F154" s="4" t="s">
        <v>162</v>
      </c>
      <c r="I154" s="4"/>
      <c r="J154" s="4"/>
    </row>
    <row r="155" spans="5:10" x14ac:dyDescent="0.2">
      <c r="E155" s="1" t="s">
        <v>15</v>
      </c>
      <c r="F155" s="4" t="s">
        <v>163</v>
      </c>
      <c r="I155" s="4"/>
      <c r="J155" s="4"/>
    </row>
    <row r="156" spans="5:10" x14ac:dyDescent="0.2">
      <c r="E156" s="4" t="s">
        <v>17</v>
      </c>
      <c r="F156" s="4" t="s">
        <v>164</v>
      </c>
      <c r="I156" s="4"/>
      <c r="J156" s="4"/>
    </row>
    <row r="157" spans="5:10" x14ac:dyDescent="0.2">
      <c r="E157" s="4" t="s">
        <v>17</v>
      </c>
      <c r="F157" s="4" t="s">
        <v>165</v>
      </c>
      <c r="I157" s="4"/>
      <c r="J157" s="4"/>
    </row>
    <row r="158" spans="5:10" x14ac:dyDescent="0.2">
      <c r="E158" s="4" t="s">
        <v>17</v>
      </c>
      <c r="F158" s="4" t="s">
        <v>166</v>
      </c>
      <c r="I158" s="4"/>
      <c r="J158" s="4"/>
    </row>
    <row r="159" spans="5:10" x14ac:dyDescent="0.2">
      <c r="E159" s="4" t="s">
        <v>17</v>
      </c>
      <c r="F159" s="4" t="s">
        <v>167</v>
      </c>
      <c r="I159" s="4"/>
      <c r="J159" s="4"/>
    </row>
    <row r="160" spans="5:10" x14ac:dyDescent="0.2">
      <c r="E160" s="4" t="s">
        <v>17</v>
      </c>
      <c r="F160" s="4" t="s">
        <v>168</v>
      </c>
      <c r="I160" s="4"/>
      <c r="J160" s="4"/>
    </row>
    <row r="161" spans="5:10" x14ac:dyDescent="0.2">
      <c r="E161" s="4" t="s">
        <v>17</v>
      </c>
      <c r="F161" s="4" t="s">
        <v>169</v>
      </c>
      <c r="I161" s="4"/>
      <c r="J161" s="4"/>
    </row>
    <row r="162" spans="5:10" x14ac:dyDescent="0.2">
      <c r="E162" s="4" t="s">
        <v>17</v>
      </c>
      <c r="F162" s="4" t="s">
        <v>47</v>
      </c>
      <c r="I162" s="4"/>
      <c r="J162" s="4"/>
    </row>
    <row r="163" spans="5:10" x14ac:dyDescent="0.2">
      <c r="E163" s="4" t="s">
        <v>17</v>
      </c>
      <c r="F163" s="4" t="s">
        <v>170</v>
      </c>
      <c r="I163" s="4"/>
      <c r="J163" s="4"/>
    </row>
    <row r="164" spans="5:10" x14ac:dyDescent="0.2">
      <c r="E164" s="4" t="s">
        <v>17</v>
      </c>
      <c r="F164" s="4" t="s">
        <v>171</v>
      </c>
      <c r="I164" s="4"/>
      <c r="J164" s="4"/>
    </row>
    <row r="165" spans="5:10" x14ac:dyDescent="0.2">
      <c r="E165" s="4" t="s">
        <v>17</v>
      </c>
      <c r="F165" s="4" t="s">
        <v>172</v>
      </c>
      <c r="I165" s="4"/>
      <c r="J165" s="4"/>
    </row>
    <row r="166" spans="5:10" x14ac:dyDescent="0.2">
      <c r="E166" s="4" t="s">
        <v>17</v>
      </c>
      <c r="F166" s="4" t="s">
        <v>173</v>
      </c>
      <c r="I166" s="4"/>
      <c r="J166" s="4"/>
    </row>
    <row r="167" spans="5:10" x14ac:dyDescent="0.2">
      <c r="E167" s="4" t="s">
        <v>17</v>
      </c>
      <c r="F167" s="4" t="s">
        <v>174</v>
      </c>
      <c r="I167" s="4"/>
      <c r="J167" s="4"/>
    </row>
    <row r="168" spans="5:10" x14ac:dyDescent="0.2">
      <c r="E168" s="4" t="s">
        <v>17</v>
      </c>
      <c r="F168" s="4" t="s">
        <v>175</v>
      </c>
      <c r="I168" s="4"/>
      <c r="J168" s="4"/>
    </row>
    <row r="169" spans="5:10" x14ac:dyDescent="0.2">
      <c r="E169" s="4" t="s">
        <v>17</v>
      </c>
      <c r="F169" s="4" t="s">
        <v>176</v>
      </c>
      <c r="I169" s="4"/>
      <c r="J169" s="4"/>
    </row>
    <row r="170" spans="5:10" x14ac:dyDescent="0.2">
      <c r="E170" s="4" t="s">
        <v>17</v>
      </c>
      <c r="F170" s="4" t="s">
        <v>177</v>
      </c>
      <c r="I170" s="4"/>
      <c r="J170" s="4"/>
    </row>
    <row r="171" spans="5:10" x14ac:dyDescent="0.2">
      <c r="E171" s="4" t="s">
        <v>17</v>
      </c>
      <c r="F171" s="4" t="s">
        <v>178</v>
      </c>
      <c r="I171" s="4"/>
      <c r="J171" s="4"/>
    </row>
    <row r="172" spans="5:10" x14ac:dyDescent="0.2">
      <c r="E172" s="4" t="s">
        <v>17</v>
      </c>
      <c r="F172" s="4" t="s">
        <v>179</v>
      </c>
      <c r="I172" s="4"/>
      <c r="J172" s="4"/>
    </row>
    <row r="173" spans="5:10" x14ac:dyDescent="0.2">
      <c r="E173" s="4" t="s">
        <v>17</v>
      </c>
      <c r="F173" s="4" t="s">
        <v>180</v>
      </c>
      <c r="I173" s="4"/>
      <c r="J173" s="4"/>
    </row>
    <row r="174" spans="5:10" x14ac:dyDescent="0.2">
      <c r="E174" s="4" t="s">
        <v>17</v>
      </c>
      <c r="F174" s="4" t="s">
        <v>181</v>
      </c>
      <c r="I174" s="4"/>
      <c r="J174" s="4"/>
    </row>
    <row r="175" spans="5:10" x14ac:dyDescent="0.2">
      <c r="E175" s="4" t="s">
        <v>17</v>
      </c>
      <c r="F175" s="4" t="s">
        <v>182</v>
      </c>
      <c r="I175" s="4"/>
      <c r="J175" s="4"/>
    </row>
    <row r="176" spans="5:10" x14ac:dyDescent="0.2">
      <c r="E176" s="4" t="s">
        <v>17</v>
      </c>
      <c r="F176" s="4" t="s">
        <v>183</v>
      </c>
      <c r="I176" s="4"/>
      <c r="J176" s="4"/>
    </row>
    <row r="177" spans="5:10" x14ac:dyDescent="0.2">
      <c r="E177" s="4" t="s">
        <v>17</v>
      </c>
      <c r="F177" s="4" t="s">
        <v>184</v>
      </c>
      <c r="I177" s="4"/>
      <c r="J177" s="4"/>
    </row>
    <row r="178" spans="5:10" x14ac:dyDescent="0.2">
      <c r="E178" s="4" t="s">
        <v>17</v>
      </c>
      <c r="F178" s="4" t="s">
        <v>185</v>
      </c>
      <c r="I178" s="4"/>
      <c r="J178" s="4"/>
    </row>
    <row r="179" spans="5:10" x14ac:dyDescent="0.2">
      <c r="E179" s="4" t="s">
        <v>19</v>
      </c>
      <c r="F179" s="4" t="s">
        <v>186</v>
      </c>
      <c r="I179" s="4"/>
      <c r="J179" s="4"/>
    </row>
    <row r="180" spans="5:10" x14ac:dyDescent="0.2">
      <c r="E180" s="4" t="s">
        <v>19</v>
      </c>
      <c r="F180" s="4" t="s">
        <v>10</v>
      </c>
      <c r="I180" s="4"/>
      <c r="J180" s="4"/>
    </row>
    <row r="181" spans="5:10" x14ac:dyDescent="0.2">
      <c r="E181" s="4" t="s">
        <v>19</v>
      </c>
      <c r="F181" s="4" t="s">
        <v>187</v>
      </c>
      <c r="I181" s="4"/>
      <c r="J181" s="4"/>
    </row>
    <row r="182" spans="5:10" x14ac:dyDescent="0.2">
      <c r="E182" s="4" t="s">
        <v>19</v>
      </c>
      <c r="F182" s="4" t="s">
        <v>188</v>
      </c>
      <c r="I182" s="4"/>
      <c r="J182" s="4"/>
    </row>
    <row r="183" spans="5:10" x14ac:dyDescent="0.2">
      <c r="E183" s="4" t="s">
        <v>19</v>
      </c>
      <c r="F183" s="4" t="s">
        <v>189</v>
      </c>
      <c r="I183" s="4"/>
      <c r="J183" s="4"/>
    </row>
    <row r="184" spans="5:10" x14ac:dyDescent="0.2">
      <c r="E184" s="4" t="s">
        <v>19</v>
      </c>
      <c r="F184" s="4" t="s">
        <v>190</v>
      </c>
      <c r="I184" s="4"/>
      <c r="J184" s="4"/>
    </row>
    <row r="185" spans="5:10" x14ac:dyDescent="0.2">
      <c r="E185" s="4" t="s">
        <v>19</v>
      </c>
      <c r="F185" s="4" t="s">
        <v>191</v>
      </c>
      <c r="I185" s="4"/>
      <c r="J185" s="4"/>
    </row>
    <row r="186" spans="5:10" x14ac:dyDescent="0.2">
      <c r="E186" s="4" t="s">
        <v>19</v>
      </c>
      <c r="F186" s="4" t="s">
        <v>192</v>
      </c>
      <c r="I186" s="4"/>
      <c r="J186" s="4"/>
    </row>
    <row r="187" spans="5:10" x14ac:dyDescent="0.2">
      <c r="E187" s="4" t="s">
        <v>19</v>
      </c>
      <c r="F187" s="4" t="s">
        <v>193</v>
      </c>
      <c r="I187" s="4"/>
      <c r="J187" s="4"/>
    </row>
    <row r="188" spans="5:10" x14ac:dyDescent="0.2">
      <c r="E188" s="4" t="s">
        <v>19</v>
      </c>
      <c r="F188" s="4" t="s">
        <v>71</v>
      </c>
      <c r="I188" s="4"/>
      <c r="J188" s="4"/>
    </row>
    <row r="189" spans="5:10" x14ac:dyDescent="0.2">
      <c r="E189" s="4" t="s">
        <v>19</v>
      </c>
      <c r="F189" s="4" t="s">
        <v>194</v>
      </c>
      <c r="I189" s="4"/>
      <c r="J189" s="4"/>
    </row>
    <row r="190" spans="5:10" x14ac:dyDescent="0.2">
      <c r="E190" s="4" t="s">
        <v>19</v>
      </c>
      <c r="F190" s="4" t="s">
        <v>195</v>
      </c>
      <c r="I190" s="4"/>
      <c r="J190" s="4"/>
    </row>
    <row r="191" spans="5:10" x14ac:dyDescent="0.2">
      <c r="E191" s="4" t="s">
        <v>19</v>
      </c>
      <c r="F191" s="4" t="s">
        <v>196</v>
      </c>
      <c r="I191" s="4"/>
      <c r="J191" s="4"/>
    </row>
    <row r="192" spans="5:10" x14ac:dyDescent="0.2">
      <c r="E192" s="4" t="s">
        <v>19</v>
      </c>
      <c r="F192" s="4" t="s">
        <v>197</v>
      </c>
      <c r="I192" s="4"/>
      <c r="J192" s="4"/>
    </row>
    <row r="193" spans="5:10" x14ac:dyDescent="0.2">
      <c r="E193" s="4" t="s">
        <v>19</v>
      </c>
      <c r="F193" s="4" t="s">
        <v>76</v>
      </c>
      <c r="I193" s="4"/>
      <c r="J193" s="4"/>
    </row>
    <row r="194" spans="5:10" x14ac:dyDescent="0.2">
      <c r="E194" s="4" t="s">
        <v>19</v>
      </c>
      <c r="F194" s="4" t="s">
        <v>198</v>
      </c>
      <c r="I194" s="4"/>
      <c r="J194" s="4"/>
    </row>
    <row r="195" spans="5:10" x14ac:dyDescent="0.2">
      <c r="E195" s="4" t="s">
        <v>19</v>
      </c>
      <c r="F195" s="4" t="s">
        <v>199</v>
      </c>
      <c r="I195" s="4"/>
      <c r="J195" s="4"/>
    </row>
    <row r="196" spans="5:10" x14ac:dyDescent="0.2">
      <c r="E196" s="4" t="s">
        <v>19</v>
      </c>
      <c r="F196" s="4" t="s">
        <v>200</v>
      </c>
      <c r="I196" s="4"/>
      <c r="J196" s="4"/>
    </row>
    <row r="197" spans="5:10" x14ac:dyDescent="0.2">
      <c r="E197" s="4" t="s">
        <v>19</v>
      </c>
      <c r="F197" s="4" t="s">
        <v>201</v>
      </c>
      <c r="I197" s="4"/>
      <c r="J197" s="4"/>
    </row>
    <row r="198" spans="5:10" x14ac:dyDescent="0.2">
      <c r="E198" s="4" t="s">
        <v>19</v>
      </c>
      <c r="F198" s="4" t="s">
        <v>202</v>
      </c>
      <c r="I198" s="4"/>
      <c r="J198" s="4"/>
    </row>
    <row r="199" spans="5:10" x14ac:dyDescent="0.2">
      <c r="E199" s="4" t="s">
        <v>19</v>
      </c>
      <c r="F199" s="4" t="s">
        <v>203</v>
      </c>
      <c r="I199" s="4"/>
      <c r="J199" s="4"/>
    </row>
    <row r="200" spans="5:10" x14ac:dyDescent="0.2">
      <c r="E200" s="4" t="s">
        <v>21</v>
      </c>
      <c r="F200" s="4" t="s">
        <v>204</v>
      </c>
      <c r="I200" s="4"/>
      <c r="J200" s="4"/>
    </row>
    <row r="201" spans="5:10" x14ac:dyDescent="0.2">
      <c r="E201" s="4" t="s">
        <v>21</v>
      </c>
      <c r="F201" s="4" t="s">
        <v>10</v>
      </c>
      <c r="I201" s="4"/>
      <c r="J201" s="4"/>
    </row>
    <row r="202" spans="5:10" x14ac:dyDescent="0.2">
      <c r="E202" s="4" t="s">
        <v>21</v>
      </c>
      <c r="F202" s="4" t="s">
        <v>205</v>
      </c>
      <c r="I202" s="4"/>
      <c r="J202" s="4"/>
    </row>
    <row r="203" spans="5:10" x14ac:dyDescent="0.2">
      <c r="E203" s="4" t="s">
        <v>21</v>
      </c>
      <c r="F203" s="4" t="s">
        <v>206</v>
      </c>
      <c r="I203" s="4"/>
      <c r="J203" s="4"/>
    </row>
    <row r="204" spans="5:10" x14ac:dyDescent="0.2">
      <c r="E204" s="4" t="s">
        <v>21</v>
      </c>
      <c r="F204" s="4" t="s">
        <v>207</v>
      </c>
      <c r="I204" s="4"/>
      <c r="J204" s="4"/>
    </row>
    <row r="205" spans="5:10" x14ac:dyDescent="0.2">
      <c r="E205" s="4" t="s">
        <v>21</v>
      </c>
      <c r="F205" s="4" t="s">
        <v>208</v>
      </c>
      <c r="I205" s="4"/>
      <c r="J205" s="4"/>
    </row>
    <row r="206" spans="5:10" x14ac:dyDescent="0.2">
      <c r="E206" s="4" t="s">
        <v>21</v>
      </c>
      <c r="F206" s="4" t="s">
        <v>209</v>
      </c>
      <c r="I206" s="4"/>
      <c r="J206" s="4"/>
    </row>
    <row r="207" spans="5:10" x14ac:dyDescent="0.2">
      <c r="E207" s="4" t="s">
        <v>21</v>
      </c>
      <c r="F207" s="4" t="s">
        <v>210</v>
      </c>
      <c r="I207" s="4"/>
      <c r="J207" s="4"/>
    </row>
    <row r="208" spans="5:10" x14ac:dyDescent="0.2">
      <c r="E208" s="4" t="s">
        <v>21</v>
      </c>
      <c r="F208" s="4" t="s">
        <v>211</v>
      </c>
      <c r="I208" s="4"/>
      <c r="J208" s="4"/>
    </row>
    <row r="209" spans="5:10" x14ac:dyDescent="0.2">
      <c r="E209" s="4" t="s">
        <v>21</v>
      </c>
      <c r="F209" s="4" t="s">
        <v>48</v>
      </c>
      <c r="I209" s="4"/>
      <c r="J209" s="4"/>
    </row>
    <row r="210" spans="5:10" x14ac:dyDescent="0.2">
      <c r="E210" s="4" t="s">
        <v>21</v>
      </c>
      <c r="F210" s="4" t="s">
        <v>212</v>
      </c>
      <c r="I210" s="4"/>
      <c r="J210" s="4"/>
    </row>
    <row r="211" spans="5:10" x14ac:dyDescent="0.2">
      <c r="E211" s="4" t="s">
        <v>21</v>
      </c>
      <c r="F211" s="4" t="s">
        <v>213</v>
      </c>
      <c r="I211" s="4"/>
      <c r="J211" s="4"/>
    </row>
    <row r="212" spans="5:10" x14ac:dyDescent="0.2">
      <c r="E212" s="4" t="s">
        <v>21</v>
      </c>
      <c r="F212" s="4" t="s">
        <v>214</v>
      </c>
      <c r="I212" s="4"/>
      <c r="J212" s="4"/>
    </row>
    <row r="213" spans="5:10" x14ac:dyDescent="0.2">
      <c r="E213" s="4" t="s">
        <v>21</v>
      </c>
      <c r="F213" s="4" t="s">
        <v>215</v>
      </c>
      <c r="I213" s="4"/>
      <c r="J213" s="4"/>
    </row>
    <row r="214" spans="5:10" x14ac:dyDescent="0.2">
      <c r="E214" s="4" t="s">
        <v>21</v>
      </c>
      <c r="F214" s="4" t="s">
        <v>216</v>
      </c>
      <c r="I214" s="4"/>
      <c r="J214" s="4"/>
    </row>
    <row r="215" spans="5:10" x14ac:dyDescent="0.2">
      <c r="E215" s="4" t="s">
        <v>21</v>
      </c>
      <c r="F215" s="4" t="s">
        <v>217</v>
      </c>
      <c r="I215" s="4"/>
      <c r="J215" s="4"/>
    </row>
    <row r="216" spans="5:10" x14ac:dyDescent="0.2">
      <c r="E216" s="4" t="s">
        <v>21</v>
      </c>
      <c r="F216" s="4" t="s">
        <v>218</v>
      </c>
      <c r="I216" s="4"/>
      <c r="J216" s="4"/>
    </row>
    <row r="217" spans="5:10" x14ac:dyDescent="0.2">
      <c r="E217" s="4" t="s">
        <v>21</v>
      </c>
      <c r="F217" s="4" t="s">
        <v>219</v>
      </c>
      <c r="I217" s="4"/>
      <c r="J217" s="4"/>
    </row>
    <row r="218" spans="5:10" x14ac:dyDescent="0.2">
      <c r="E218" s="4" t="s">
        <v>21</v>
      </c>
      <c r="F218" s="4" t="s">
        <v>201</v>
      </c>
      <c r="I218" s="4"/>
      <c r="J218" s="4"/>
    </row>
    <row r="219" spans="5:10" x14ac:dyDescent="0.2">
      <c r="E219" s="4" t="s">
        <v>21</v>
      </c>
      <c r="F219" s="4" t="s">
        <v>220</v>
      </c>
      <c r="I219" s="4"/>
      <c r="J219" s="4"/>
    </row>
    <row r="220" spans="5:10" x14ac:dyDescent="0.2">
      <c r="E220" s="4" t="s">
        <v>21</v>
      </c>
      <c r="F220" s="4" t="s">
        <v>221</v>
      </c>
      <c r="I220" s="4"/>
      <c r="J220" s="4"/>
    </row>
    <row r="221" spans="5:10" x14ac:dyDescent="0.2">
      <c r="E221" s="4" t="s">
        <v>23</v>
      </c>
      <c r="F221" s="4" t="s">
        <v>222</v>
      </c>
      <c r="I221" s="4"/>
      <c r="J221" s="4"/>
    </row>
    <row r="222" spans="5:10" x14ac:dyDescent="0.2">
      <c r="E222" s="4" t="s">
        <v>23</v>
      </c>
      <c r="F222" s="4" t="s">
        <v>10</v>
      </c>
      <c r="I222" s="4"/>
      <c r="J222" s="4"/>
    </row>
    <row r="223" spans="5:10" x14ac:dyDescent="0.2">
      <c r="E223" s="4" t="s">
        <v>23</v>
      </c>
      <c r="F223" s="4" t="s">
        <v>223</v>
      </c>
      <c r="I223" s="4"/>
      <c r="J223" s="4"/>
    </row>
    <row r="224" spans="5:10" x14ac:dyDescent="0.2">
      <c r="E224" s="4" t="s">
        <v>23</v>
      </c>
      <c r="F224" s="4" t="s">
        <v>14</v>
      </c>
      <c r="I224" s="4"/>
      <c r="J224" s="4"/>
    </row>
    <row r="225" spans="5:10" x14ac:dyDescent="0.2">
      <c r="E225" s="4" t="s">
        <v>23</v>
      </c>
      <c r="F225" s="4" t="s">
        <v>224</v>
      </c>
      <c r="I225" s="4"/>
      <c r="J225" s="4"/>
    </row>
    <row r="226" spans="5:10" x14ac:dyDescent="0.2">
      <c r="E226" s="4" t="s">
        <v>23</v>
      </c>
      <c r="F226" s="4" t="s">
        <v>169</v>
      </c>
      <c r="I226" s="4"/>
      <c r="J226" s="4"/>
    </row>
    <row r="227" spans="5:10" x14ac:dyDescent="0.2">
      <c r="E227" s="4" t="s">
        <v>23</v>
      </c>
      <c r="F227" s="4" t="s">
        <v>225</v>
      </c>
      <c r="I227" s="4"/>
      <c r="J227" s="4"/>
    </row>
    <row r="228" spans="5:10" x14ac:dyDescent="0.2">
      <c r="E228" s="4" t="s">
        <v>23</v>
      </c>
      <c r="F228" s="4" t="s">
        <v>47</v>
      </c>
      <c r="I228" s="4"/>
      <c r="J228" s="4"/>
    </row>
    <row r="229" spans="5:10" x14ac:dyDescent="0.2">
      <c r="E229" s="4" t="s">
        <v>23</v>
      </c>
      <c r="F229" s="4" t="s">
        <v>226</v>
      </c>
      <c r="I229" s="4"/>
      <c r="J229" s="4"/>
    </row>
    <row r="230" spans="5:10" x14ac:dyDescent="0.2">
      <c r="E230" s="4" t="s">
        <v>23</v>
      </c>
      <c r="F230" s="4" t="s">
        <v>172</v>
      </c>
      <c r="I230" s="4"/>
      <c r="J230" s="4"/>
    </row>
    <row r="231" spans="5:10" x14ac:dyDescent="0.2">
      <c r="E231" s="4" t="s">
        <v>23</v>
      </c>
      <c r="F231" s="4" t="s">
        <v>227</v>
      </c>
      <c r="I231" s="4"/>
      <c r="J231" s="4"/>
    </row>
    <row r="232" spans="5:10" x14ac:dyDescent="0.2">
      <c r="E232" s="4" t="s">
        <v>23</v>
      </c>
      <c r="F232" s="4" t="s">
        <v>228</v>
      </c>
      <c r="I232" s="4"/>
      <c r="J232" s="4"/>
    </row>
    <row r="233" spans="5:10" x14ac:dyDescent="0.2">
      <c r="E233" s="4" t="s">
        <v>23</v>
      </c>
      <c r="F233" s="4" t="s">
        <v>229</v>
      </c>
      <c r="I233" s="4"/>
      <c r="J233" s="4"/>
    </row>
    <row r="234" spans="5:10" x14ac:dyDescent="0.2">
      <c r="E234" s="4" t="s">
        <v>23</v>
      </c>
      <c r="F234" s="4" t="s">
        <v>230</v>
      </c>
      <c r="I234" s="4"/>
      <c r="J234" s="4"/>
    </row>
    <row r="235" spans="5:10" x14ac:dyDescent="0.2">
      <c r="E235" s="4" t="s">
        <v>23</v>
      </c>
      <c r="F235" s="4" t="s">
        <v>231</v>
      </c>
      <c r="I235" s="4"/>
      <c r="J235" s="4"/>
    </row>
    <row r="236" spans="5:10" x14ac:dyDescent="0.2">
      <c r="E236" s="4" t="s">
        <v>23</v>
      </c>
      <c r="F236" s="4" t="s">
        <v>232</v>
      </c>
      <c r="I236" s="4"/>
      <c r="J236" s="4"/>
    </row>
    <row r="237" spans="5:10" x14ac:dyDescent="0.2">
      <c r="E237" s="4" t="s">
        <v>23</v>
      </c>
      <c r="F237" s="4" t="s">
        <v>233</v>
      </c>
      <c r="I237" s="4"/>
      <c r="J237" s="4"/>
    </row>
    <row r="238" spans="5:10" x14ac:dyDescent="0.2">
      <c r="E238" s="4" t="s">
        <v>23</v>
      </c>
      <c r="F238" s="4" t="s">
        <v>180</v>
      </c>
      <c r="I238" s="4"/>
      <c r="J238" s="4"/>
    </row>
    <row r="239" spans="5:10" x14ac:dyDescent="0.2">
      <c r="E239" s="4" t="s">
        <v>23</v>
      </c>
      <c r="F239" s="4" t="s">
        <v>234</v>
      </c>
      <c r="I239" s="4"/>
      <c r="J239" s="4"/>
    </row>
    <row r="240" spans="5:10" x14ac:dyDescent="0.2">
      <c r="E240" s="4" t="s">
        <v>23</v>
      </c>
      <c r="F240" s="4" t="s">
        <v>183</v>
      </c>
      <c r="I240" s="4"/>
      <c r="J240" s="4"/>
    </row>
    <row r="241" spans="5:10" x14ac:dyDescent="0.2">
      <c r="E241" s="4" t="s">
        <v>23</v>
      </c>
      <c r="F241" s="4" t="s">
        <v>235</v>
      </c>
      <c r="I241" s="4"/>
      <c r="J241" s="4"/>
    </row>
    <row r="242" spans="5:10" x14ac:dyDescent="0.2">
      <c r="E242" s="4" t="s">
        <v>23</v>
      </c>
      <c r="F242" s="4" t="s">
        <v>236</v>
      </c>
      <c r="I242" s="4"/>
      <c r="J242" s="4"/>
    </row>
    <row r="243" spans="5:10" x14ac:dyDescent="0.2">
      <c r="E243" s="4" t="s">
        <v>237</v>
      </c>
      <c r="F243" s="4" t="s">
        <v>238</v>
      </c>
      <c r="I243" s="4"/>
      <c r="J243" s="4"/>
    </row>
    <row r="244" spans="5:10" x14ac:dyDescent="0.2">
      <c r="E244" s="4" t="s">
        <v>237</v>
      </c>
      <c r="F244" s="4" t="s">
        <v>119</v>
      </c>
      <c r="I244" s="4"/>
      <c r="J244" s="4"/>
    </row>
    <row r="245" spans="5:10" x14ac:dyDescent="0.2">
      <c r="E245" s="4" t="s">
        <v>237</v>
      </c>
      <c r="F245" s="4" t="s">
        <v>239</v>
      </c>
      <c r="I245" s="4"/>
      <c r="J245" s="4"/>
    </row>
    <row r="246" spans="5:10" x14ac:dyDescent="0.2">
      <c r="E246" s="4" t="s">
        <v>237</v>
      </c>
      <c r="F246" s="4" t="s">
        <v>208</v>
      </c>
      <c r="I246" s="4"/>
      <c r="J246" s="4"/>
    </row>
    <row r="247" spans="5:10" x14ac:dyDescent="0.2">
      <c r="E247" s="4" t="s">
        <v>237</v>
      </c>
      <c r="F247" s="4" t="s">
        <v>240</v>
      </c>
      <c r="I247" s="4"/>
      <c r="J247" s="4"/>
    </row>
    <row r="248" spans="5:10" x14ac:dyDescent="0.2">
      <c r="E248" s="4" t="s">
        <v>237</v>
      </c>
      <c r="F248" s="4" t="s">
        <v>241</v>
      </c>
      <c r="I248" s="4"/>
      <c r="J248" s="4"/>
    </row>
    <row r="249" spans="5:10" x14ac:dyDescent="0.2">
      <c r="E249" s="4" t="s">
        <v>237</v>
      </c>
      <c r="F249" s="4" t="s">
        <v>242</v>
      </c>
      <c r="I249" s="4"/>
      <c r="J249" s="4"/>
    </row>
    <row r="250" spans="5:10" x14ac:dyDescent="0.2">
      <c r="E250" s="4" t="s">
        <v>237</v>
      </c>
      <c r="F250" s="4" t="s">
        <v>243</v>
      </c>
      <c r="I250" s="4"/>
      <c r="J250" s="4"/>
    </row>
    <row r="251" spans="5:10" x14ac:dyDescent="0.2">
      <c r="E251" s="4" t="s">
        <v>237</v>
      </c>
      <c r="F251" s="4" t="s">
        <v>27</v>
      </c>
      <c r="I251" s="4"/>
      <c r="J251" s="4"/>
    </row>
    <row r="252" spans="5:10" x14ac:dyDescent="0.2">
      <c r="E252" s="4" t="s">
        <v>237</v>
      </c>
      <c r="F252" s="4" t="s">
        <v>244</v>
      </c>
      <c r="I252" s="4"/>
      <c r="J252" s="4"/>
    </row>
    <row r="253" spans="5:10" x14ac:dyDescent="0.2">
      <c r="E253" s="4" t="s">
        <v>237</v>
      </c>
      <c r="F253" s="4" t="s">
        <v>245</v>
      </c>
      <c r="I253" s="4"/>
      <c r="J253" s="4"/>
    </row>
    <row r="254" spans="5:10" x14ac:dyDescent="0.2">
      <c r="E254" s="4" t="s">
        <v>237</v>
      </c>
      <c r="F254" s="4" t="s">
        <v>246</v>
      </c>
      <c r="I254" s="4"/>
      <c r="J254" s="4"/>
    </row>
    <row r="255" spans="5:10" x14ac:dyDescent="0.2">
      <c r="E255" s="4" t="s">
        <v>237</v>
      </c>
      <c r="F255" s="4" t="s">
        <v>247</v>
      </c>
      <c r="I255" s="4"/>
      <c r="J255" s="4"/>
    </row>
    <row r="256" spans="5:10" x14ac:dyDescent="0.2">
      <c r="E256" s="4" t="s">
        <v>237</v>
      </c>
      <c r="F256" s="4" t="s">
        <v>248</v>
      </c>
      <c r="I256" s="4"/>
      <c r="J256" s="4"/>
    </row>
    <row r="257" spans="5:10" x14ac:dyDescent="0.2">
      <c r="E257" s="4" t="s">
        <v>237</v>
      </c>
      <c r="F257" s="4" t="s">
        <v>249</v>
      </c>
      <c r="I257" s="4"/>
      <c r="J257" s="4"/>
    </row>
    <row r="258" spans="5:10" x14ac:dyDescent="0.2">
      <c r="E258" s="4" t="s">
        <v>237</v>
      </c>
      <c r="F258" s="4" t="s">
        <v>199</v>
      </c>
      <c r="I258" s="4"/>
      <c r="J258" s="4"/>
    </row>
    <row r="259" spans="5:10" x14ac:dyDescent="0.2">
      <c r="E259" s="4" t="s">
        <v>237</v>
      </c>
      <c r="F259" s="4" t="s">
        <v>250</v>
      </c>
      <c r="I259" s="5"/>
      <c r="J259" s="5"/>
    </row>
    <row r="260" spans="5:10" x14ac:dyDescent="0.2">
      <c r="E260" s="4" t="s">
        <v>237</v>
      </c>
      <c r="F260" s="4" t="s">
        <v>251</v>
      </c>
      <c r="I260" s="5"/>
      <c r="J260" s="5"/>
    </row>
    <row r="261" spans="5:10" x14ac:dyDescent="0.2">
      <c r="E261" s="4" t="s">
        <v>237</v>
      </c>
      <c r="F261" s="4" t="s">
        <v>252</v>
      </c>
      <c r="I261" s="5"/>
      <c r="J261" s="5"/>
    </row>
    <row r="262" spans="5:10" x14ac:dyDescent="0.2">
      <c r="E262" s="4" t="s">
        <v>237</v>
      </c>
      <c r="F262" s="4" t="s">
        <v>135</v>
      </c>
      <c r="I262" s="5"/>
      <c r="J262" s="5"/>
    </row>
    <row r="263" spans="5:10" x14ac:dyDescent="0.2">
      <c r="E263" s="4" t="s">
        <v>26</v>
      </c>
      <c r="F263" s="4" t="s">
        <v>253</v>
      </c>
      <c r="I263" s="5"/>
      <c r="J263" s="5"/>
    </row>
    <row r="264" spans="5:10" x14ac:dyDescent="0.2">
      <c r="E264" s="4" t="s">
        <v>26</v>
      </c>
      <c r="F264" s="4" t="s">
        <v>14</v>
      </c>
      <c r="I264" s="5"/>
      <c r="J264" s="5"/>
    </row>
    <row r="265" spans="5:10" x14ac:dyDescent="0.2">
      <c r="E265" s="4" t="s">
        <v>26</v>
      </c>
      <c r="F265" s="4" t="s">
        <v>189</v>
      </c>
      <c r="I265" s="5"/>
      <c r="J265" s="5"/>
    </row>
    <row r="266" spans="5:10" x14ac:dyDescent="0.2">
      <c r="E266" s="4" t="s">
        <v>26</v>
      </c>
      <c r="F266" s="4" t="s">
        <v>254</v>
      </c>
      <c r="I266" s="5"/>
      <c r="J266" s="5"/>
    </row>
    <row r="267" spans="5:10" x14ac:dyDescent="0.2">
      <c r="E267" s="4" t="s">
        <v>26</v>
      </c>
      <c r="F267" s="4" t="s">
        <v>255</v>
      </c>
      <c r="I267" s="5"/>
      <c r="J267" s="5"/>
    </row>
    <row r="268" spans="5:10" x14ac:dyDescent="0.2">
      <c r="E268" s="4" t="s">
        <v>26</v>
      </c>
      <c r="F268" s="4" t="s">
        <v>192</v>
      </c>
      <c r="I268" s="5"/>
      <c r="J268" s="5"/>
    </row>
    <row r="269" spans="5:10" x14ac:dyDescent="0.2">
      <c r="E269" s="4" t="s">
        <v>26</v>
      </c>
      <c r="F269" s="4" t="s">
        <v>256</v>
      </c>
      <c r="I269" s="5"/>
      <c r="J269" s="5"/>
    </row>
    <row r="270" spans="5:10" x14ac:dyDescent="0.2">
      <c r="E270" s="4" t="s">
        <v>26</v>
      </c>
      <c r="F270" s="4" t="s">
        <v>257</v>
      </c>
      <c r="I270" s="5"/>
      <c r="J270" s="5"/>
    </row>
    <row r="271" spans="5:10" x14ac:dyDescent="0.2">
      <c r="E271" s="4" t="s">
        <v>26</v>
      </c>
      <c r="F271" s="4" t="s">
        <v>194</v>
      </c>
      <c r="I271" s="5"/>
      <c r="J271" s="5"/>
    </row>
    <row r="272" spans="5:10" x14ac:dyDescent="0.2">
      <c r="E272" s="4" t="s">
        <v>26</v>
      </c>
      <c r="F272" s="4" t="s">
        <v>258</v>
      </c>
      <c r="I272" s="5"/>
      <c r="J272" s="5"/>
    </row>
    <row r="273" spans="5:10" x14ac:dyDescent="0.2">
      <c r="E273" s="4" t="s">
        <v>26</v>
      </c>
      <c r="F273" s="4" t="s">
        <v>74</v>
      </c>
      <c r="I273" s="5"/>
      <c r="J273" s="5"/>
    </row>
    <row r="274" spans="5:10" x14ac:dyDescent="0.2">
      <c r="E274" s="4" t="s">
        <v>26</v>
      </c>
      <c r="F274" s="4" t="s">
        <v>259</v>
      </c>
      <c r="I274" s="5"/>
      <c r="J274" s="5"/>
    </row>
    <row r="275" spans="5:10" x14ac:dyDescent="0.2">
      <c r="E275" s="4" t="s">
        <v>26</v>
      </c>
      <c r="F275" s="4" t="s">
        <v>260</v>
      </c>
      <c r="I275" s="5"/>
      <c r="J275" s="5"/>
    </row>
    <row r="276" spans="5:10" x14ac:dyDescent="0.2">
      <c r="E276" s="4" t="s">
        <v>26</v>
      </c>
      <c r="F276" s="4" t="s">
        <v>261</v>
      </c>
      <c r="I276" s="5"/>
      <c r="J276" s="5"/>
    </row>
    <row r="277" spans="5:10" x14ac:dyDescent="0.2">
      <c r="E277" s="4" t="s">
        <v>26</v>
      </c>
      <c r="F277" s="4" t="s">
        <v>262</v>
      </c>
    </row>
    <row r="278" spans="5:10" x14ac:dyDescent="0.2">
      <c r="E278" s="4" t="s">
        <v>26</v>
      </c>
      <c r="F278" s="4" t="s">
        <v>263</v>
      </c>
    </row>
    <row r="279" spans="5:10" x14ac:dyDescent="0.2">
      <c r="E279" s="4" t="s">
        <v>26</v>
      </c>
      <c r="F279" s="4" t="s">
        <v>133</v>
      </c>
    </row>
    <row r="280" spans="5:10" x14ac:dyDescent="0.2">
      <c r="E280" s="4" t="s">
        <v>26</v>
      </c>
      <c r="F280" s="4" t="s">
        <v>264</v>
      </c>
    </row>
    <row r="281" spans="5:10" x14ac:dyDescent="0.2">
      <c r="E281" s="4" t="s">
        <v>26</v>
      </c>
      <c r="F281" s="4" t="s">
        <v>265</v>
      </c>
    </row>
    <row r="282" spans="5:10" x14ac:dyDescent="0.2">
      <c r="E282" s="1" t="s">
        <v>28</v>
      </c>
      <c r="F282" s="4" t="s">
        <v>266</v>
      </c>
    </row>
    <row r="283" spans="5:10" x14ac:dyDescent="0.2">
      <c r="E283" s="1" t="s">
        <v>28</v>
      </c>
      <c r="F283" s="4" t="s">
        <v>10</v>
      </c>
    </row>
    <row r="284" spans="5:10" x14ac:dyDescent="0.2">
      <c r="E284" s="1" t="s">
        <v>28</v>
      </c>
      <c r="F284" s="4" t="s">
        <v>165</v>
      </c>
    </row>
    <row r="285" spans="5:10" x14ac:dyDescent="0.2">
      <c r="E285" s="1" t="s">
        <v>28</v>
      </c>
      <c r="F285" s="4" t="s">
        <v>14</v>
      </c>
    </row>
    <row r="286" spans="5:10" x14ac:dyDescent="0.2">
      <c r="E286" s="1" t="s">
        <v>28</v>
      </c>
      <c r="F286" s="4" t="s">
        <v>16</v>
      </c>
    </row>
    <row r="287" spans="5:10" x14ac:dyDescent="0.2">
      <c r="E287" s="1" t="s">
        <v>28</v>
      </c>
      <c r="F287" s="4" t="s">
        <v>267</v>
      </c>
    </row>
    <row r="288" spans="5:10" x14ac:dyDescent="0.2">
      <c r="E288" s="1" t="s">
        <v>28</v>
      </c>
      <c r="F288" s="4" t="s">
        <v>191</v>
      </c>
    </row>
    <row r="289" spans="5:6" x14ac:dyDescent="0.2">
      <c r="E289" s="1" t="s">
        <v>28</v>
      </c>
      <c r="F289" s="4" t="s">
        <v>22</v>
      </c>
    </row>
    <row r="290" spans="5:6" x14ac:dyDescent="0.2">
      <c r="E290" s="1" t="s">
        <v>28</v>
      </c>
      <c r="F290" s="4" t="s">
        <v>268</v>
      </c>
    </row>
    <row r="291" spans="5:6" x14ac:dyDescent="0.2">
      <c r="E291" s="1" t="s">
        <v>28</v>
      </c>
      <c r="F291" s="4" t="s">
        <v>269</v>
      </c>
    </row>
    <row r="292" spans="5:6" x14ac:dyDescent="0.2">
      <c r="E292" s="1" t="s">
        <v>28</v>
      </c>
      <c r="F292" s="4" t="s">
        <v>228</v>
      </c>
    </row>
    <row r="293" spans="5:6" x14ac:dyDescent="0.2">
      <c r="E293" s="1" t="s">
        <v>28</v>
      </c>
      <c r="F293" s="4" t="s">
        <v>270</v>
      </c>
    </row>
    <row r="294" spans="5:6" x14ac:dyDescent="0.2">
      <c r="E294" s="1" t="s">
        <v>28</v>
      </c>
      <c r="F294" s="4" t="s">
        <v>30</v>
      </c>
    </row>
    <row r="295" spans="5:6" x14ac:dyDescent="0.2">
      <c r="E295" s="1" t="s">
        <v>28</v>
      </c>
      <c r="F295" s="4" t="s">
        <v>271</v>
      </c>
    </row>
    <row r="296" spans="5:6" x14ac:dyDescent="0.2">
      <c r="E296" s="1" t="s">
        <v>28</v>
      </c>
      <c r="F296" s="4" t="s">
        <v>232</v>
      </c>
    </row>
    <row r="297" spans="5:6" x14ac:dyDescent="0.2">
      <c r="E297" s="1" t="s">
        <v>28</v>
      </c>
      <c r="F297" s="4" t="s">
        <v>272</v>
      </c>
    </row>
    <row r="298" spans="5:6" x14ac:dyDescent="0.2">
      <c r="E298" s="1" t="s">
        <v>28</v>
      </c>
      <c r="F298" s="4" t="s">
        <v>34</v>
      </c>
    </row>
    <row r="299" spans="5:6" x14ac:dyDescent="0.2">
      <c r="E299" s="1" t="s">
        <v>28</v>
      </c>
      <c r="F299" s="4" t="s">
        <v>273</v>
      </c>
    </row>
    <row r="300" spans="5:6" x14ac:dyDescent="0.2">
      <c r="E300" s="1" t="s">
        <v>28</v>
      </c>
      <c r="F300" s="4" t="s">
        <v>274</v>
      </c>
    </row>
    <row r="301" spans="5:6" x14ac:dyDescent="0.2">
      <c r="E301" s="1" t="s">
        <v>28</v>
      </c>
      <c r="F301" s="4" t="s">
        <v>275</v>
      </c>
    </row>
    <row r="302" spans="5:6" x14ac:dyDescent="0.2">
      <c r="E302" s="1" t="s">
        <v>28</v>
      </c>
      <c r="F302" s="4" t="s">
        <v>81</v>
      </c>
    </row>
    <row r="303" spans="5:6" x14ac:dyDescent="0.2">
      <c r="E303" s="1" t="s">
        <v>28</v>
      </c>
      <c r="F303" s="4" t="s">
        <v>183</v>
      </c>
    </row>
    <row r="304" spans="5:6" x14ac:dyDescent="0.2">
      <c r="E304" s="1" t="s">
        <v>28</v>
      </c>
      <c r="F304" s="4" t="s">
        <v>276</v>
      </c>
    </row>
    <row r="305" spans="5:6" x14ac:dyDescent="0.2">
      <c r="E305" s="1" t="s">
        <v>28</v>
      </c>
      <c r="F305" s="4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E337-5725-4EF6-9A09-A1E219F59EB4}">
  <dimension ref="A1:AF353"/>
  <sheetViews>
    <sheetView tabSelected="1" zoomScale="80" zoomScaleNormal="80" zoomScaleSheetLayoutView="90" workbookViewId="0">
      <selection activeCell="N3" sqref="N3:O6"/>
    </sheetView>
  </sheetViews>
  <sheetFormatPr defaultRowHeight="12.75" x14ac:dyDescent="0.2"/>
  <cols>
    <col min="1" max="1" width="12.42578125" customWidth="1"/>
    <col min="2" max="3" width="13.42578125" customWidth="1"/>
    <col min="4" max="6" width="11.7109375" customWidth="1"/>
    <col min="7" max="7" width="14.7109375" customWidth="1"/>
    <col min="8" max="8" width="13.42578125" style="54" hidden="1" customWidth="1"/>
    <col min="9" max="9" width="13.42578125" hidden="1" customWidth="1"/>
    <col min="10" max="10" width="21.140625" customWidth="1"/>
    <col min="11" max="11" width="7.28515625" customWidth="1"/>
    <col min="14" max="14" width="12.7109375" bestFit="1" customWidth="1"/>
    <col min="15" max="15" width="16.5703125" customWidth="1"/>
    <col min="17" max="18" width="21.5703125" customWidth="1"/>
  </cols>
  <sheetData>
    <row r="1" spans="1:21" s="11" customFormat="1" ht="20.25" customHeight="1" x14ac:dyDescent="0.3">
      <c r="A1" s="9" t="s">
        <v>277</v>
      </c>
      <c r="B1" s="9"/>
      <c r="C1" s="9"/>
      <c r="D1" s="9"/>
      <c r="E1" s="9"/>
      <c r="F1" s="9"/>
      <c r="G1" s="9"/>
      <c r="H1" s="9"/>
      <c r="I1" s="9"/>
      <c r="J1" s="9"/>
      <c r="K1" s="10"/>
      <c r="Q1" s="3"/>
      <c r="R1" s="3"/>
      <c r="S1"/>
      <c r="T1" s="3"/>
      <c r="U1" s="3"/>
    </row>
    <row r="2" spans="1:21" ht="18.75" x14ac:dyDescent="0.3">
      <c r="A2" s="9" t="s">
        <v>278</v>
      </c>
      <c r="B2" s="9"/>
      <c r="C2" s="9"/>
      <c r="D2" s="9"/>
      <c r="E2" s="9"/>
      <c r="F2" s="9"/>
      <c r="G2" s="9"/>
      <c r="H2" s="9"/>
      <c r="I2" s="9"/>
      <c r="J2" s="9"/>
      <c r="K2" s="12"/>
      <c r="Q2" s="1"/>
      <c r="R2" s="5"/>
      <c r="T2" s="1"/>
      <c r="U2" s="5"/>
    </row>
    <row r="3" spans="1:21" x14ac:dyDescent="0.2">
      <c r="A3" s="12"/>
      <c r="B3" s="12"/>
      <c r="C3" s="12"/>
      <c r="D3" s="12"/>
      <c r="E3" s="12"/>
      <c r="F3" s="12"/>
      <c r="G3" s="12"/>
      <c r="H3" s="13"/>
      <c r="I3" s="12"/>
      <c r="J3" s="12"/>
      <c r="K3" s="12"/>
      <c r="N3" s="84" t="s">
        <v>330</v>
      </c>
      <c r="O3" s="84"/>
      <c r="Q3" s="1"/>
      <c r="R3" s="5"/>
      <c r="T3" s="1"/>
      <c r="U3" s="5"/>
    </row>
    <row r="4" spans="1:21" ht="31.5" x14ac:dyDescent="0.2">
      <c r="A4" s="14" t="s">
        <v>279</v>
      </c>
      <c r="B4" s="14" t="s">
        <v>280</v>
      </c>
      <c r="C4" s="14" t="s">
        <v>281</v>
      </c>
      <c r="D4" s="14" t="s">
        <v>282</v>
      </c>
      <c r="E4" s="14" t="s">
        <v>283</v>
      </c>
      <c r="F4" s="15" t="s">
        <v>284</v>
      </c>
      <c r="G4" s="15" t="s">
        <v>285</v>
      </c>
      <c r="H4" s="16" t="s">
        <v>286</v>
      </c>
      <c r="I4" s="15" t="s">
        <v>287</v>
      </c>
      <c r="J4" s="15" t="s">
        <v>288</v>
      </c>
      <c r="K4" s="17"/>
      <c r="M4" s="4"/>
      <c r="N4" s="4" t="s">
        <v>327</v>
      </c>
      <c r="O4" s="54">
        <v>12500</v>
      </c>
      <c r="Q4" s="1"/>
      <c r="R4" s="5"/>
      <c r="T4" s="1"/>
      <c r="U4" s="5"/>
    </row>
    <row r="5" spans="1:21" ht="15.75" x14ac:dyDescent="0.25">
      <c r="A5" s="18" t="s">
        <v>289</v>
      </c>
      <c r="B5" s="19" t="s">
        <v>290</v>
      </c>
      <c r="C5" s="20">
        <v>45932</v>
      </c>
      <c r="D5" s="19">
        <v>7.15</v>
      </c>
      <c r="E5" s="21">
        <v>16.02</v>
      </c>
      <c r="F5" s="21">
        <v>8</v>
      </c>
      <c r="G5" s="21">
        <f t="shared" ref="G5:G11" si="0">E5-F5-D5</f>
        <v>0.86999999999999922</v>
      </c>
      <c r="H5" s="22"/>
      <c r="I5" s="23"/>
      <c r="J5" s="24"/>
      <c r="K5" s="1"/>
      <c r="M5" s="4"/>
      <c r="N5" s="4" t="s">
        <v>328</v>
      </c>
      <c r="O5" s="54">
        <v>10000</v>
      </c>
      <c r="Q5" s="1"/>
      <c r="R5" s="5"/>
      <c r="T5" s="1"/>
      <c r="U5" s="5"/>
    </row>
    <row r="6" spans="1:21" ht="15.75" x14ac:dyDescent="0.25">
      <c r="A6" s="18"/>
      <c r="B6" s="19" t="s">
        <v>290</v>
      </c>
      <c r="C6" s="20">
        <v>45936</v>
      </c>
      <c r="D6" s="19">
        <v>7.22</v>
      </c>
      <c r="E6" s="21">
        <v>16.07</v>
      </c>
      <c r="F6" s="21">
        <v>8</v>
      </c>
      <c r="G6" s="21">
        <f t="shared" si="0"/>
        <v>0.85000000000000053</v>
      </c>
      <c r="H6" s="22"/>
      <c r="I6" s="23"/>
      <c r="J6" s="25"/>
      <c r="K6" s="1"/>
      <c r="M6" s="4"/>
      <c r="N6" s="4" t="s">
        <v>329</v>
      </c>
      <c r="O6" s="54">
        <v>8000</v>
      </c>
      <c r="Q6" s="1"/>
      <c r="R6" s="5"/>
      <c r="T6" s="1"/>
      <c r="U6" s="5"/>
    </row>
    <row r="7" spans="1:21" ht="15.75" x14ac:dyDescent="0.25">
      <c r="A7" s="18"/>
      <c r="B7" s="19" t="s">
        <v>291</v>
      </c>
      <c r="C7" s="20">
        <v>45939</v>
      </c>
      <c r="D7" s="19">
        <v>7.15</v>
      </c>
      <c r="E7" s="21">
        <v>16.13</v>
      </c>
      <c r="F7" s="21">
        <v>8</v>
      </c>
      <c r="G7" s="21">
        <f t="shared" si="0"/>
        <v>0.97999999999999865</v>
      </c>
      <c r="H7" s="22"/>
      <c r="I7" s="23"/>
      <c r="J7" s="25"/>
      <c r="K7" s="1"/>
      <c r="M7" s="4"/>
      <c r="N7" s="4"/>
      <c r="O7" s="54"/>
      <c r="Q7" s="1"/>
      <c r="R7" s="5"/>
      <c r="T7" s="1"/>
      <c r="U7" s="5"/>
    </row>
    <row r="8" spans="1:21" ht="15.75" x14ac:dyDescent="0.25">
      <c r="A8" s="18"/>
      <c r="B8" s="19" t="s">
        <v>290</v>
      </c>
      <c r="C8" s="20">
        <v>45943</v>
      </c>
      <c r="D8" s="19">
        <v>7.21</v>
      </c>
      <c r="E8" s="21">
        <v>16</v>
      </c>
      <c r="F8" s="21">
        <v>8</v>
      </c>
      <c r="G8" s="21">
        <f t="shared" si="0"/>
        <v>0.79</v>
      </c>
      <c r="H8" s="22"/>
      <c r="I8" s="23"/>
      <c r="J8" s="25"/>
      <c r="K8" s="1"/>
      <c r="L8" s="5"/>
      <c r="M8" s="4"/>
      <c r="N8" s="4"/>
      <c r="Q8" s="1"/>
      <c r="R8" s="5"/>
      <c r="T8" s="1"/>
      <c r="U8" s="5"/>
    </row>
    <row r="9" spans="1:21" ht="15.75" x14ac:dyDescent="0.25">
      <c r="A9" s="18"/>
      <c r="B9" s="19" t="s">
        <v>290</v>
      </c>
      <c r="C9" s="20">
        <v>45950</v>
      </c>
      <c r="D9" s="19">
        <v>7.25</v>
      </c>
      <c r="E9" s="21">
        <v>16.11</v>
      </c>
      <c r="F9" s="21">
        <v>8</v>
      </c>
      <c r="G9" s="21">
        <f t="shared" si="0"/>
        <v>0.85999999999999943</v>
      </c>
      <c r="H9" s="22"/>
      <c r="I9" s="23"/>
      <c r="J9" s="25"/>
      <c r="K9" s="1"/>
      <c r="L9" s="5"/>
      <c r="M9" s="4"/>
      <c r="N9" s="4"/>
      <c r="Q9" s="1"/>
      <c r="R9" s="5"/>
      <c r="T9" s="1"/>
      <c r="U9" s="5"/>
    </row>
    <row r="10" spans="1:21" ht="15.75" x14ac:dyDescent="0.25">
      <c r="A10" s="18"/>
      <c r="B10" s="19" t="s">
        <v>291</v>
      </c>
      <c r="C10" s="20">
        <v>45953</v>
      </c>
      <c r="D10" s="19">
        <v>7.19</v>
      </c>
      <c r="E10" s="21">
        <v>16.03</v>
      </c>
      <c r="F10" s="21">
        <v>8</v>
      </c>
      <c r="G10" s="21">
        <f t="shared" si="0"/>
        <v>0.84000000000000075</v>
      </c>
      <c r="H10" s="22"/>
      <c r="I10" s="23"/>
      <c r="J10" s="25"/>
      <c r="K10" s="1"/>
      <c r="L10" s="5"/>
      <c r="M10" s="4"/>
      <c r="N10" s="4"/>
      <c r="Q10" s="1"/>
      <c r="R10" s="5"/>
      <c r="T10" s="1"/>
      <c r="U10" s="5"/>
    </row>
    <row r="11" spans="1:21" ht="15.75" x14ac:dyDescent="0.25">
      <c r="A11" s="18"/>
      <c r="B11" s="19" t="s">
        <v>291</v>
      </c>
      <c r="C11" s="20">
        <v>45960</v>
      </c>
      <c r="D11" s="19">
        <v>7.32</v>
      </c>
      <c r="E11" s="21">
        <v>16.170000000000002</v>
      </c>
      <c r="F11" s="21">
        <v>8</v>
      </c>
      <c r="G11" s="21">
        <f t="shared" si="0"/>
        <v>0.85000000000000142</v>
      </c>
      <c r="H11" s="22"/>
      <c r="I11" s="23"/>
      <c r="J11" s="25"/>
      <c r="K11" s="1"/>
      <c r="L11" s="5"/>
      <c r="M11" s="4"/>
      <c r="N11" s="4"/>
      <c r="Q11" s="1"/>
      <c r="R11" s="5"/>
      <c r="T11" s="1"/>
      <c r="U11" s="5"/>
    </row>
    <row r="12" spans="1:21" ht="15.75" x14ac:dyDescent="0.25">
      <c r="A12" s="18"/>
      <c r="B12" s="19"/>
      <c r="C12" s="26"/>
      <c r="D12" s="21"/>
      <c r="E12" s="21"/>
      <c r="F12" s="21"/>
      <c r="G12" s="14">
        <f>SUM(G5:G11)</f>
        <v>6.04</v>
      </c>
      <c r="H12" s="22"/>
      <c r="I12" s="23"/>
      <c r="J12" s="25"/>
      <c r="K12" s="1"/>
      <c r="L12" s="5"/>
      <c r="M12" s="4"/>
      <c r="N12" s="4"/>
      <c r="Q12" s="1"/>
      <c r="R12" s="5"/>
      <c r="T12" s="1"/>
      <c r="U12" s="5"/>
    </row>
    <row r="13" spans="1:21" ht="15.75" x14ac:dyDescent="0.25">
      <c r="A13" s="27"/>
      <c r="B13" s="28"/>
      <c r="C13" s="29"/>
      <c r="D13" s="29"/>
      <c r="E13" s="29"/>
      <c r="F13" s="29"/>
      <c r="G13" s="14">
        <v>6</v>
      </c>
      <c r="H13" s="30"/>
      <c r="I13" s="31"/>
      <c r="J13" s="25"/>
      <c r="K13" s="1"/>
      <c r="L13" s="5"/>
      <c r="M13" s="4"/>
      <c r="N13" s="4"/>
      <c r="Q13" s="1"/>
      <c r="R13" s="5"/>
      <c r="T13" s="1"/>
      <c r="U13" s="5"/>
    </row>
    <row r="14" spans="1:21" ht="15.75" x14ac:dyDescent="0.25">
      <c r="A14" s="27"/>
      <c r="B14" s="28"/>
      <c r="C14" s="29"/>
      <c r="D14" s="29"/>
      <c r="E14" s="29"/>
      <c r="F14" s="29"/>
      <c r="G14" s="30">
        <f>G13*12500</f>
        <v>75000</v>
      </c>
      <c r="H14" s="30">
        <f>SUM(H5:H13)</f>
        <v>0</v>
      </c>
      <c r="I14" s="30">
        <f>SUM(I5:I12)</f>
        <v>0</v>
      </c>
      <c r="J14" s="25"/>
      <c r="K14" s="1"/>
      <c r="M14" s="4"/>
      <c r="N14" s="4"/>
      <c r="Q14" s="1"/>
      <c r="R14" s="5"/>
      <c r="T14" s="1"/>
      <c r="U14" s="5"/>
    </row>
    <row r="15" spans="1:21" ht="15.75" x14ac:dyDescent="0.2">
      <c r="A15" s="32" t="s">
        <v>285</v>
      </c>
      <c r="B15" s="33"/>
      <c r="C15" s="33"/>
      <c r="D15" s="33"/>
      <c r="E15" s="33"/>
      <c r="F15" s="34"/>
      <c r="G15" s="35">
        <f>SUM(G14:I14)</f>
        <v>75000</v>
      </c>
      <c r="H15" s="36"/>
      <c r="I15" s="36"/>
      <c r="J15" s="37"/>
      <c r="K15" s="1"/>
      <c r="M15" s="4"/>
      <c r="N15" s="4"/>
      <c r="Q15" s="1"/>
      <c r="R15" s="5"/>
      <c r="T15" s="1"/>
      <c r="U15" s="5"/>
    </row>
    <row r="16" spans="1:21" ht="15.75" x14ac:dyDescent="0.25">
      <c r="A16" s="28"/>
      <c r="B16" s="28"/>
      <c r="C16" s="28"/>
      <c r="D16" s="28"/>
      <c r="E16" s="28"/>
      <c r="F16" s="28"/>
      <c r="G16" s="28"/>
      <c r="H16" s="38"/>
      <c r="I16" s="28"/>
      <c r="J16" s="28"/>
      <c r="K16" s="1"/>
      <c r="M16" s="4"/>
      <c r="N16" s="4"/>
      <c r="Q16" s="1"/>
      <c r="R16" s="5"/>
      <c r="T16" s="1"/>
      <c r="U16" s="5"/>
    </row>
    <row r="17" spans="1:21" ht="31.5" x14ac:dyDescent="0.2">
      <c r="A17" s="14" t="s">
        <v>279</v>
      </c>
      <c r="B17" s="14" t="s">
        <v>280</v>
      </c>
      <c r="C17" s="14" t="s">
        <v>281</v>
      </c>
      <c r="D17" s="14" t="s">
        <v>282</v>
      </c>
      <c r="E17" s="14" t="s">
        <v>283</v>
      </c>
      <c r="F17" s="15" t="s">
        <v>284</v>
      </c>
      <c r="G17" s="15" t="s">
        <v>285</v>
      </c>
      <c r="H17" s="16" t="s">
        <v>286</v>
      </c>
      <c r="I17" s="15" t="s">
        <v>287</v>
      </c>
      <c r="J17" s="15" t="s">
        <v>288</v>
      </c>
      <c r="K17" s="1"/>
      <c r="L17" s="4"/>
      <c r="M17" s="4"/>
      <c r="N17" s="4"/>
      <c r="O17" s="4"/>
      <c r="P17" s="4"/>
      <c r="R17" s="5"/>
      <c r="T17" s="1"/>
      <c r="U17" s="5"/>
    </row>
    <row r="18" spans="1:21" ht="15.75" x14ac:dyDescent="0.25">
      <c r="A18" s="18" t="s">
        <v>292</v>
      </c>
      <c r="B18" s="19" t="s">
        <v>293</v>
      </c>
      <c r="C18" s="20">
        <v>45938</v>
      </c>
      <c r="D18" s="19">
        <v>7.4</v>
      </c>
      <c r="E18" s="21">
        <v>16.12</v>
      </c>
      <c r="F18" s="21">
        <v>8</v>
      </c>
      <c r="G18" s="21">
        <f t="shared" ref="G18:G21" si="1">E18-F18-D18</f>
        <v>0.72000000000000064</v>
      </c>
      <c r="H18" s="22"/>
      <c r="I18" s="23"/>
      <c r="J18" s="24"/>
      <c r="K18" s="1"/>
      <c r="L18" s="4"/>
      <c r="M18" s="4"/>
      <c r="N18" s="4"/>
      <c r="O18" s="4"/>
      <c r="P18" s="4"/>
      <c r="R18" s="5"/>
      <c r="T18" s="1"/>
      <c r="U18" s="5"/>
    </row>
    <row r="19" spans="1:21" ht="15.75" x14ac:dyDescent="0.25">
      <c r="A19" s="18"/>
      <c r="B19" s="19" t="s">
        <v>293</v>
      </c>
      <c r="C19" s="20">
        <v>45945</v>
      </c>
      <c r="D19" s="19">
        <v>7.17</v>
      </c>
      <c r="E19" s="21">
        <v>16.07</v>
      </c>
      <c r="F19" s="21">
        <v>8</v>
      </c>
      <c r="G19" s="21">
        <f t="shared" si="1"/>
        <v>0.90000000000000036</v>
      </c>
      <c r="H19" s="22"/>
      <c r="I19" s="23"/>
      <c r="J19" s="25"/>
      <c r="K19" s="5"/>
      <c r="L19" s="4"/>
      <c r="M19" s="4"/>
      <c r="N19" s="4"/>
      <c r="O19" s="4"/>
      <c r="P19" s="4"/>
      <c r="R19" s="5"/>
      <c r="T19" s="1"/>
      <c r="U19" s="5"/>
    </row>
    <row r="20" spans="1:21" ht="15.75" x14ac:dyDescent="0.25">
      <c r="A20" s="18"/>
      <c r="B20" s="19" t="s">
        <v>293</v>
      </c>
      <c r="C20" s="20">
        <v>45959</v>
      </c>
      <c r="D20" s="19">
        <v>7.33</v>
      </c>
      <c r="E20" s="21">
        <v>16.03</v>
      </c>
      <c r="F20" s="21">
        <v>8</v>
      </c>
      <c r="G20" s="21">
        <f t="shared" si="1"/>
        <v>0.70000000000000107</v>
      </c>
      <c r="H20" s="22"/>
      <c r="I20" s="23"/>
      <c r="J20" s="25"/>
      <c r="K20" s="5"/>
      <c r="L20" s="4"/>
      <c r="M20" s="4"/>
      <c r="N20" s="4"/>
      <c r="O20" s="4"/>
      <c r="P20" s="4"/>
      <c r="R20" s="5"/>
      <c r="T20" s="1"/>
      <c r="U20" s="5"/>
    </row>
    <row r="21" spans="1:21" ht="15.75" x14ac:dyDescent="0.25">
      <c r="A21" s="18"/>
      <c r="B21" s="19" t="s">
        <v>294</v>
      </c>
      <c r="C21" s="20">
        <v>45961</v>
      </c>
      <c r="D21" s="19">
        <v>7.32</v>
      </c>
      <c r="E21" s="21">
        <v>15</v>
      </c>
      <c r="F21" s="21">
        <v>7</v>
      </c>
      <c r="G21" s="21">
        <f t="shared" si="1"/>
        <v>0.67999999999999972</v>
      </c>
      <c r="H21" s="22"/>
      <c r="I21" s="23"/>
      <c r="J21" s="25"/>
      <c r="K21" s="5"/>
      <c r="L21" s="4"/>
      <c r="M21" s="4"/>
      <c r="N21" s="4"/>
      <c r="O21" s="4"/>
      <c r="P21" s="4"/>
      <c r="R21" s="5"/>
      <c r="T21" s="1"/>
      <c r="U21" s="5"/>
    </row>
    <row r="22" spans="1:21" ht="15.75" x14ac:dyDescent="0.25">
      <c r="A22" s="18"/>
      <c r="B22" s="19"/>
      <c r="C22" s="26"/>
      <c r="D22" s="21"/>
      <c r="E22" s="21"/>
      <c r="F22" s="21"/>
      <c r="G22" s="14">
        <f>SUM(G18:G21)</f>
        <v>3.0000000000000018</v>
      </c>
      <c r="H22" s="22"/>
      <c r="I22" s="23"/>
      <c r="J22" s="25"/>
      <c r="K22" s="5"/>
      <c r="L22" s="4"/>
      <c r="M22" s="4"/>
      <c r="N22" s="4"/>
      <c r="O22" s="4"/>
      <c r="P22" s="4"/>
      <c r="R22" s="5"/>
      <c r="T22" s="1"/>
      <c r="U22" s="5"/>
    </row>
    <row r="23" spans="1:21" ht="15.75" x14ac:dyDescent="0.25">
      <c r="A23" s="27"/>
      <c r="B23" s="28"/>
      <c r="C23" s="29"/>
      <c r="D23" s="29"/>
      <c r="E23" s="29"/>
      <c r="F23" s="29"/>
      <c r="G23" s="14">
        <v>3</v>
      </c>
      <c r="H23" s="30"/>
      <c r="I23" s="31"/>
      <c r="J23" s="25"/>
      <c r="K23" s="5"/>
      <c r="L23" s="4"/>
      <c r="M23" s="4"/>
      <c r="N23" s="4"/>
      <c r="O23" s="4"/>
      <c r="P23" s="4"/>
      <c r="R23" s="5"/>
      <c r="T23" s="1"/>
      <c r="U23" s="5"/>
    </row>
    <row r="24" spans="1:21" ht="15.75" x14ac:dyDescent="0.25">
      <c r="A24" s="27"/>
      <c r="B24" s="28"/>
      <c r="C24" s="29"/>
      <c r="D24" s="29"/>
      <c r="E24" s="29"/>
      <c r="F24" s="29"/>
      <c r="G24" s="30">
        <f>G23*12500</f>
        <v>37500</v>
      </c>
      <c r="H24" s="30">
        <f>SUM(H18:H23)</f>
        <v>0</v>
      </c>
      <c r="I24" s="30">
        <f>SUM(I18:I22)</f>
        <v>0</v>
      </c>
      <c r="J24" s="25"/>
      <c r="K24" s="5"/>
      <c r="L24" s="4"/>
      <c r="M24" s="4"/>
      <c r="N24" s="4"/>
      <c r="O24" s="4"/>
      <c r="P24" s="4"/>
      <c r="R24" s="5"/>
      <c r="T24" s="1"/>
      <c r="U24" s="5"/>
    </row>
    <row r="25" spans="1:21" ht="15.75" x14ac:dyDescent="0.2">
      <c r="A25" s="32" t="s">
        <v>285</v>
      </c>
      <c r="B25" s="33"/>
      <c r="C25" s="33"/>
      <c r="D25" s="33"/>
      <c r="E25" s="33"/>
      <c r="F25" s="34"/>
      <c r="G25" s="39">
        <f>SUM(G24:I24)</f>
        <v>37500</v>
      </c>
      <c r="H25" s="39"/>
      <c r="I25" s="39"/>
      <c r="J25" s="37"/>
      <c r="K25" s="5"/>
      <c r="L25" s="4"/>
      <c r="M25" s="4"/>
      <c r="N25" s="4"/>
      <c r="O25" s="4"/>
      <c r="P25" s="4"/>
      <c r="R25" s="5"/>
      <c r="T25" s="1"/>
      <c r="U25" s="5"/>
    </row>
    <row r="26" spans="1:21" ht="15.75" x14ac:dyDescent="0.25">
      <c r="A26" s="28"/>
      <c r="B26" s="28"/>
      <c r="C26" s="28"/>
      <c r="D26" s="28"/>
      <c r="E26" s="28"/>
      <c r="F26" s="28"/>
      <c r="G26" s="28"/>
      <c r="H26" s="38"/>
      <c r="I26" s="28"/>
      <c r="J26" s="28"/>
      <c r="K26" s="5"/>
      <c r="L26" s="4"/>
      <c r="M26" s="4"/>
      <c r="N26" s="4"/>
      <c r="O26" s="4"/>
      <c r="P26" s="4"/>
      <c r="R26" s="5"/>
      <c r="T26" s="1"/>
      <c r="U26" s="5"/>
    </row>
    <row r="27" spans="1:21" ht="31.5" x14ac:dyDescent="0.2">
      <c r="A27" s="14" t="s">
        <v>279</v>
      </c>
      <c r="B27" s="14" t="s">
        <v>280</v>
      </c>
      <c r="C27" s="14" t="s">
        <v>281</v>
      </c>
      <c r="D27" s="14" t="s">
        <v>282</v>
      </c>
      <c r="E27" s="14" t="s">
        <v>283</v>
      </c>
      <c r="F27" s="15" t="s">
        <v>284</v>
      </c>
      <c r="G27" s="15" t="s">
        <v>285</v>
      </c>
      <c r="H27" s="16" t="s">
        <v>286</v>
      </c>
      <c r="I27" s="15" t="s">
        <v>287</v>
      </c>
      <c r="J27" s="15" t="s">
        <v>288</v>
      </c>
      <c r="K27" s="5"/>
      <c r="L27" s="4"/>
      <c r="M27" s="4"/>
      <c r="N27" s="4"/>
      <c r="O27" s="4"/>
      <c r="P27" s="4"/>
      <c r="R27" s="5"/>
      <c r="T27" s="1"/>
      <c r="U27" s="5"/>
    </row>
    <row r="28" spans="1:21" ht="15.75" x14ac:dyDescent="0.25">
      <c r="A28" s="18" t="s">
        <v>295</v>
      </c>
      <c r="B28" s="19" t="s">
        <v>293</v>
      </c>
      <c r="C28" s="20">
        <v>45931</v>
      </c>
      <c r="D28" s="19">
        <v>7.14</v>
      </c>
      <c r="E28" s="21">
        <v>16.07</v>
      </c>
      <c r="F28" s="21">
        <v>8</v>
      </c>
      <c r="G28" s="21">
        <f t="shared" ref="G28:G35" si="2">E28-F28-D28</f>
        <v>0.9300000000000006</v>
      </c>
      <c r="H28" s="22"/>
      <c r="I28" s="23"/>
      <c r="J28" s="24"/>
      <c r="K28" s="1"/>
      <c r="L28" s="4"/>
      <c r="M28" s="4"/>
      <c r="N28" s="4"/>
      <c r="O28" s="4"/>
      <c r="P28" s="4"/>
      <c r="R28" s="5"/>
      <c r="T28" s="1"/>
      <c r="U28" s="5"/>
    </row>
    <row r="29" spans="1:21" ht="15.75" x14ac:dyDescent="0.25">
      <c r="A29" s="18"/>
      <c r="B29" s="19" t="s">
        <v>296</v>
      </c>
      <c r="C29" s="20">
        <v>45937</v>
      </c>
      <c r="D29" s="19">
        <v>7.24</v>
      </c>
      <c r="E29" s="21">
        <v>16.02</v>
      </c>
      <c r="F29" s="21">
        <v>8</v>
      </c>
      <c r="G29" s="21">
        <f t="shared" si="2"/>
        <v>0.77999999999999936</v>
      </c>
      <c r="H29" s="22"/>
      <c r="I29" s="23"/>
      <c r="J29" s="25"/>
      <c r="K29" s="1"/>
      <c r="L29" s="4"/>
      <c r="M29" s="4"/>
      <c r="N29" s="4"/>
      <c r="O29" s="4"/>
      <c r="P29" s="4"/>
      <c r="R29" s="5"/>
      <c r="T29" s="1"/>
      <c r="U29" s="5"/>
    </row>
    <row r="30" spans="1:21" ht="15.75" x14ac:dyDescent="0.25">
      <c r="A30" s="18"/>
      <c r="B30" s="19" t="s">
        <v>297</v>
      </c>
      <c r="C30" s="20">
        <v>45940</v>
      </c>
      <c r="D30" s="19">
        <v>7.33</v>
      </c>
      <c r="E30" s="21">
        <v>15.34</v>
      </c>
      <c r="F30" s="21">
        <v>7</v>
      </c>
      <c r="G30" s="21">
        <f t="shared" si="2"/>
        <v>1.0099999999999998</v>
      </c>
      <c r="H30" s="22"/>
      <c r="I30" s="23"/>
      <c r="J30" s="25"/>
      <c r="K30" s="1"/>
      <c r="L30" s="4"/>
      <c r="M30" s="4"/>
      <c r="N30" s="4"/>
      <c r="O30" s="4"/>
      <c r="P30" s="4"/>
      <c r="R30" s="5"/>
      <c r="T30" s="1"/>
      <c r="U30" s="5"/>
    </row>
    <row r="31" spans="1:21" ht="15.75" x14ac:dyDescent="0.25">
      <c r="A31" s="18"/>
      <c r="B31" s="19" t="s">
        <v>296</v>
      </c>
      <c r="C31" s="20">
        <v>45944</v>
      </c>
      <c r="D31" s="19">
        <v>7.25</v>
      </c>
      <c r="E31" s="21">
        <v>16.09</v>
      </c>
      <c r="F31" s="21">
        <v>8</v>
      </c>
      <c r="G31" s="21">
        <f t="shared" si="2"/>
        <v>0.83999999999999986</v>
      </c>
      <c r="H31" s="22"/>
      <c r="I31" s="23"/>
      <c r="J31" s="25"/>
      <c r="K31" s="1"/>
      <c r="L31" s="4"/>
      <c r="M31" s="4"/>
      <c r="N31" s="4"/>
      <c r="O31" s="4"/>
      <c r="P31" s="4"/>
      <c r="R31" s="5"/>
      <c r="T31" s="1"/>
      <c r="U31" s="5"/>
    </row>
    <row r="32" spans="1:21" ht="15.75" x14ac:dyDescent="0.25">
      <c r="A32" s="18"/>
      <c r="B32" s="19" t="s">
        <v>296</v>
      </c>
      <c r="C32" s="20">
        <v>45951</v>
      </c>
      <c r="D32" s="19">
        <v>7.08</v>
      </c>
      <c r="E32" s="21">
        <v>16.079999999999998</v>
      </c>
      <c r="F32" s="21">
        <v>8</v>
      </c>
      <c r="G32" s="21">
        <f t="shared" si="2"/>
        <v>0.99999999999999822</v>
      </c>
      <c r="H32" s="22"/>
      <c r="I32" s="23"/>
      <c r="J32" s="25"/>
      <c r="K32" s="1"/>
      <c r="L32" s="4"/>
      <c r="M32" s="4"/>
      <c r="N32" s="4"/>
      <c r="O32" s="4"/>
      <c r="P32" s="4"/>
      <c r="R32" s="5"/>
      <c r="T32" s="1"/>
      <c r="U32" s="5"/>
    </row>
    <row r="33" spans="1:21" ht="15.75" x14ac:dyDescent="0.25">
      <c r="A33" s="18"/>
      <c r="B33" s="19" t="s">
        <v>297</v>
      </c>
      <c r="C33" s="20">
        <v>45954</v>
      </c>
      <c r="D33" s="19">
        <v>7.36</v>
      </c>
      <c r="E33" s="21">
        <v>15.35</v>
      </c>
      <c r="F33" s="21">
        <v>7</v>
      </c>
      <c r="G33" s="21">
        <f t="shared" si="2"/>
        <v>0.98999999999999932</v>
      </c>
      <c r="H33" s="22"/>
      <c r="I33" s="23"/>
      <c r="J33" s="25"/>
      <c r="K33" s="1"/>
      <c r="L33" s="4"/>
      <c r="M33" s="4"/>
      <c r="N33" s="4"/>
      <c r="O33" s="4"/>
      <c r="P33" s="4"/>
      <c r="R33" s="5"/>
      <c r="T33" s="1"/>
      <c r="U33" s="5"/>
    </row>
    <row r="34" spans="1:21" ht="15.75" x14ac:dyDescent="0.25">
      <c r="A34" s="18"/>
      <c r="B34" s="19" t="s">
        <v>296</v>
      </c>
      <c r="C34" s="20">
        <v>45958</v>
      </c>
      <c r="D34" s="19">
        <v>7.35</v>
      </c>
      <c r="E34" s="21">
        <v>16.03</v>
      </c>
      <c r="F34" s="21">
        <v>8</v>
      </c>
      <c r="G34" s="21">
        <f t="shared" si="2"/>
        <v>0.68000000000000149</v>
      </c>
      <c r="H34" s="22"/>
      <c r="I34" s="23"/>
      <c r="J34" s="25"/>
      <c r="K34" s="1"/>
      <c r="L34" s="4"/>
      <c r="M34" s="4"/>
      <c r="N34" s="4"/>
      <c r="O34" s="4"/>
      <c r="P34" s="4"/>
      <c r="R34" s="5"/>
      <c r="T34" s="1"/>
      <c r="U34" s="5"/>
    </row>
    <row r="35" spans="1:21" ht="15.75" x14ac:dyDescent="0.25">
      <c r="A35" s="18"/>
      <c r="B35" s="19" t="s">
        <v>291</v>
      </c>
      <c r="C35" s="20">
        <v>45960</v>
      </c>
      <c r="D35" s="19">
        <v>7.33</v>
      </c>
      <c r="E35" s="21">
        <v>16.010000000000002</v>
      </c>
      <c r="F35" s="21">
        <v>8</v>
      </c>
      <c r="G35" s="21">
        <f t="shared" si="2"/>
        <v>0.68000000000000149</v>
      </c>
      <c r="H35" s="22"/>
      <c r="I35" s="23"/>
      <c r="J35" s="25"/>
      <c r="K35" s="1"/>
      <c r="L35" s="4"/>
      <c r="M35" s="4"/>
      <c r="N35" s="4"/>
      <c r="Q35" s="1"/>
      <c r="R35" s="5"/>
      <c r="T35" s="1"/>
      <c r="U35" s="5"/>
    </row>
    <row r="36" spans="1:21" ht="15.75" x14ac:dyDescent="0.25">
      <c r="A36" s="18"/>
      <c r="B36" s="19"/>
      <c r="C36" s="26"/>
      <c r="D36" s="21"/>
      <c r="E36" s="21"/>
      <c r="F36" s="21"/>
      <c r="G36" s="14">
        <f>SUM(G28:G35)</f>
        <v>6.91</v>
      </c>
      <c r="H36" s="22"/>
      <c r="I36" s="23"/>
      <c r="J36" s="25"/>
      <c r="K36" s="1"/>
      <c r="L36" s="4"/>
      <c r="M36" s="4"/>
      <c r="N36" s="4"/>
      <c r="Q36" s="1"/>
      <c r="R36" s="5"/>
      <c r="T36" s="1"/>
      <c r="U36" s="5"/>
    </row>
    <row r="37" spans="1:21" ht="15.75" x14ac:dyDescent="0.25">
      <c r="A37" s="27"/>
      <c r="B37" s="28"/>
      <c r="C37" s="29"/>
      <c r="D37" s="29"/>
      <c r="E37" s="29"/>
      <c r="F37" s="29"/>
      <c r="G37" s="14">
        <v>7</v>
      </c>
      <c r="H37" s="30"/>
      <c r="I37" s="31"/>
      <c r="J37" s="25"/>
      <c r="K37" s="1"/>
      <c r="L37" s="4"/>
      <c r="M37" s="4"/>
      <c r="N37" s="4"/>
      <c r="Q37" s="1"/>
      <c r="R37" s="5"/>
      <c r="T37" s="1"/>
      <c r="U37" s="5"/>
    </row>
    <row r="38" spans="1:21" ht="15.75" x14ac:dyDescent="0.25">
      <c r="A38" s="27"/>
      <c r="B38" s="28"/>
      <c r="C38" s="29"/>
      <c r="D38" s="29"/>
      <c r="E38" s="29"/>
      <c r="F38" s="29"/>
      <c r="G38" s="30">
        <f>G37*10000</f>
        <v>70000</v>
      </c>
      <c r="H38" s="30">
        <f>SUM(H28:H37)</f>
        <v>0</v>
      </c>
      <c r="I38" s="30">
        <f>SUM(I28:I36)</f>
        <v>0</v>
      </c>
      <c r="J38" s="25"/>
      <c r="K38" s="1"/>
      <c r="L38" s="4"/>
      <c r="M38" s="4"/>
      <c r="N38" s="4"/>
      <c r="Q38" s="1"/>
      <c r="R38" s="5"/>
      <c r="T38" s="1"/>
      <c r="U38" s="5"/>
    </row>
    <row r="39" spans="1:21" ht="15.75" x14ac:dyDescent="0.2">
      <c r="A39" s="32" t="s">
        <v>285</v>
      </c>
      <c r="B39" s="33"/>
      <c r="C39" s="33"/>
      <c r="D39" s="33"/>
      <c r="E39" s="33"/>
      <c r="F39" s="34"/>
      <c r="G39" s="39">
        <f>SUM(G38:I38)</f>
        <v>70000</v>
      </c>
      <c r="H39" s="39"/>
      <c r="I39" s="39"/>
      <c r="J39" s="37"/>
      <c r="K39" s="5"/>
      <c r="L39" s="4"/>
      <c r="M39" s="4"/>
      <c r="N39" s="4"/>
      <c r="Q39" s="1"/>
      <c r="R39" s="5"/>
      <c r="T39" s="1"/>
      <c r="U39" s="5"/>
    </row>
    <row r="40" spans="1:21" ht="15.75" x14ac:dyDescent="0.25">
      <c r="A40" s="28"/>
      <c r="B40" s="28"/>
      <c r="C40" s="28"/>
      <c r="D40" s="28"/>
      <c r="E40" s="28"/>
      <c r="F40" s="28"/>
      <c r="G40" s="28"/>
      <c r="H40" s="38"/>
      <c r="I40" s="28"/>
      <c r="J40" s="28"/>
      <c r="K40" s="5"/>
      <c r="L40" s="4"/>
      <c r="M40" s="4"/>
      <c r="N40" s="4"/>
      <c r="Q40" s="1"/>
      <c r="R40" s="5"/>
      <c r="T40" s="1"/>
      <c r="U40" s="5"/>
    </row>
    <row r="41" spans="1:21" ht="31.5" x14ac:dyDescent="0.2">
      <c r="A41" s="14" t="s">
        <v>279</v>
      </c>
      <c r="B41" s="14" t="s">
        <v>280</v>
      </c>
      <c r="C41" s="14" t="s">
        <v>281</v>
      </c>
      <c r="D41" s="14" t="s">
        <v>282</v>
      </c>
      <c r="E41" s="14" t="s">
        <v>283</v>
      </c>
      <c r="F41" s="15" t="s">
        <v>284</v>
      </c>
      <c r="G41" s="15" t="s">
        <v>285</v>
      </c>
      <c r="H41" s="16" t="s">
        <v>286</v>
      </c>
      <c r="I41" s="15" t="s">
        <v>287</v>
      </c>
      <c r="J41" s="15" t="s">
        <v>288</v>
      </c>
      <c r="K41" s="1"/>
      <c r="L41" s="4"/>
      <c r="M41" s="4"/>
      <c r="N41" s="4"/>
      <c r="Q41" s="1"/>
      <c r="R41" s="5"/>
      <c r="T41" s="1"/>
      <c r="U41" s="5"/>
    </row>
    <row r="42" spans="1:21" ht="15.75" x14ac:dyDescent="0.25">
      <c r="A42" s="18" t="s">
        <v>298</v>
      </c>
      <c r="B42" s="19" t="s">
        <v>291</v>
      </c>
      <c r="C42" s="20">
        <v>45932</v>
      </c>
      <c r="D42" s="19">
        <v>7.37</v>
      </c>
      <c r="E42" s="21">
        <v>16.260000000000002</v>
      </c>
      <c r="F42" s="21">
        <v>8</v>
      </c>
      <c r="G42" s="21">
        <f t="shared" ref="G42:G45" si="3">E42-F42-D42</f>
        <v>0.89000000000000146</v>
      </c>
      <c r="H42" s="22"/>
      <c r="I42" s="23"/>
      <c r="J42" s="24"/>
      <c r="K42" s="1"/>
      <c r="L42" s="1"/>
      <c r="M42" s="4"/>
      <c r="N42" s="4"/>
      <c r="Q42" s="1"/>
      <c r="R42" s="5"/>
      <c r="T42" s="1"/>
      <c r="U42" s="5"/>
    </row>
    <row r="43" spans="1:21" ht="15.75" x14ac:dyDescent="0.25">
      <c r="A43" s="18"/>
      <c r="B43" s="19" t="s">
        <v>290</v>
      </c>
      <c r="C43" s="40">
        <v>45936</v>
      </c>
      <c r="D43" s="19">
        <v>7.36</v>
      </c>
      <c r="E43" s="21">
        <v>16</v>
      </c>
      <c r="F43" s="21">
        <v>8</v>
      </c>
      <c r="G43" s="21">
        <f t="shared" si="3"/>
        <v>0.63999999999999968</v>
      </c>
      <c r="H43" s="22"/>
      <c r="I43" s="23"/>
      <c r="J43" s="25"/>
      <c r="K43" s="1"/>
      <c r="L43" s="1"/>
      <c r="M43" s="4"/>
      <c r="N43" s="4"/>
      <c r="Q43" s="1"/>
      <c r="R43" s="5"/>
      <c r="T43" s="1"/>
      <c r="U43" s="5"/>
    </row>
    <row r="44" spans="1:21" ht="15.75" x14ac:dyDescent="0.25">
      <c r="A44" s="18"/>
      <c r="B44" s="19" t="s">
        <v>290</v>
      </c>
      <c r="C44" s="40">
        <v>45943</v>
      </c>
      <c r="D44" s="41">
        <v>8.02</v>
      </c>
      <c r="E44" s="41">
        <v>17.350000000000001</v>
      </c>
      <c r="F44" s="41">
        <v>8</v>
      </c>
      <c r="G44" s="21">
        <f t="shared" si="3"/>
        <v>1.3300000000000018</v>
      </c>
      <c r="H44" s="22"/>
      <c r="I44" s="23"/>
      <c r="J44" s="25"/>
      <c r="K44" s="1"/>
      <c r="L44" s="1"/>
      <c r="M44" s="4"/>
      <c r="N44" s="4"/>
      <c r="Q44" s="1"/>
      <c r="R44" s="5"/>
      <c r="T44" s="1"/>
      <c r="U44" s="5"/>
    </row>
    <row r="45" spans="1:21" ht="15.75" x14ac:dyDescent="0.25">
      <c r="A45" s="18"/>
      <c r="B45" s="19" t="s">
        <v>290</v>
      </c>
      <c r="C45" s="40">
        <v>45950</v>
      </c>
      <c r="D45" s="19">
        <v>7.52</v>
      </c>
      <c r="E45" s="21">
        <v>17.329999999999998</v>
      </c>
      <c r="F45" s="21">
        <v>8</v>
      </c>
      <c r="G45" s="21">
        <f t="shared" si="3"/>
        <v>1.8099999999999987</v>
      </c>
      <c r="H45" s="22"/>
      <c r="I45" s="23"/>
      <c r="J45" s="25"/>
      <c r="K45" s="1"/>
      <c r="L45" s="1"/>
      <c r="M45" s="4"/>
      <c r="N45" s="4"/>
      <c r="Q45" s="1"/>
      <c r="R45" s="5"/>
      <c r="T45" s="1"/>
      <c r="U45" s="5"/>
    </row>
    <row r="46" spans="1:21" ht="15.75" x14ac:dyDescent="0.25">
      <c r="A46" s="18"/>
      <c r="B46" s="19"/>
      <c r="C46" s="20"/>
      <c r="D46" s="19"/>
      <c r="E46" s="21"/>
      <c r="F46" s="21"/>
      <c r="G46" s="21">
        <f>E46-F46-D46</f>
        <v>0</v>
      </c>
      <c r="H46" s="22"/>
      <c r="I46" s="23"/>
      <c r="J46" s="25"/>
      <c r="K46" s="1"/>
      <c r="L46" s="1"/>
      <c r="M46" s="4"/>
      <c r="N46" s="4"/>
      <c r="Q46" s="1"/>
      <c r="R46" s="5"/>
      <c r="T46" s="1"/>
      <c r="U46" s="5"/>
    </row>
    <row r="47" spans="1:21" ht="15.75" x14ac:dyDescent="0.25">
      <c r="A47" s="18"/>
      <c r="B47" s="19"/>
      <c r="C47" s="26"/>
      <c r="D47" s="21"/>
      <c r="E47" s="21"/>
      <c r="F47" s="21"/>
      <c r="G47" s="14">
        <f>SUM(G42:G45)</f>
        <v>4.6700000000000017</v>
      </c>
      <c r="H47" s="22"/>
      <c r="I47" s="23"/>
      <c r="J47" s="25"/>
      <c r="K47" s="1"/>
      <c r="L47" s="1"/>
      <c r="M47" s="4"/>
      <c r="N47" s="4"/>
      <c r="Q47" s="1"/>
      <c r="R47" s="5"/>
      <c r="T47" s="1"/>
      <c r="U47" s="5"/>
    </row>
    <row r="48" spans="1:21" ht="15.75" x14ac:dyDescent="0.25">
      <c r="A48" s="27"/>
      <c r="B48" s="28"/>
      <c r="C48" s="29"/>
      <c r="D48" s="29"/>
      <c r="E48" s="29"/>
      <c r="F48" s="29"/>
      <c r="G48" s="14">
        <v>5</v>
      </c>
      <c r="H48" s="30"/>
      <c r="I48" s="31"/>
      <c r="J48" s="25"/>
      <c r="K48" s="1"/>
      <c r="L48" s="1"/>
      <c r="M48" s="4"/>
      <c r="N48" s="4"/>
      <c r="Q48" s="1"/>
      <c r="R48" s="5"/>
      <c r="T48" s="1"/>
      <c r="U48" s="5"/>
    </row>
    <row r="49" spans="1:21" ht="15.75" x14ac:dyDescent="0.25">
      <c r="A49" s="27"/>
      <c r="B49" s="28"/>
      <c r="C49" s="29"/>
      <c r="D49" s="29"/>
      <c r="E49" s="29"/>
      <c r="F49" s="29"/>
      <c r="G49" s="30">
        <f>G48*10000</f>
        <v>50000</v>
      </c>
      <c r="H49" s="30">
        <f>SUM(H42:H48)</f>
        <v>0</v>
      </c>
      <c r="I49" s="30">
        <f>SUM(I42:I47)</f>
        <v>0</v>
      </c>
      <c r="J49" s="25"/>
      <c r="K49" s="1"/>
      <c r="L49" s="1"/>
      <c r="M49" s="4"/>
      <c r="N49" s="4"/>
      <c r="Q49" s="1"/>
      <c r="R49" s="5"/>
      <c r="T49" s="1"/>
      <c r="U49" s="5"/>
    </row>
    <row r="50" spans="1:21" ht="15.75" x14ac:dyDescent="0.2">
      <c r="A50" s="32" t="s">
        <v>285</v>
      </c>
      <c r="B50" s="33"/>
      <c r="C50" s="33"/>
      <c r="D50" s="33"/>
      <c r="E50" s="33"/>
      <c r="F50" s="34"/>
      <c r="G50" s="35">
        <f>SUM(G49:I49)</f>
        <v>50000</v>
      </c>
      <c r="H50" s="36"/>
      <c r="I50" s="36"/>
      <c r="J50" s="37"/>
      <c r="K50" s="1"/>
      <c r="L50" s="1"/>
      <c r="M50" s="4"/>
      <c r="N50" s="4"/>
      <c r="Q50" s="1"/>
      <c r="R50" s="5"/>
      <c r="T50" s="1"/>
      <c r="U50" s="5"/>
    </row>
    <row r="51" spans="1:21" ht="15.75" x14ac:dyDescent="0.25">
      <c r="A51" s="28"/>
      <c r="B51" s="28"/>
      <c r="C51" s="28"/>
      <c r="D51" s="28"/>
      <c r="E51" s="28"/>
      <c r="F51" s="28"/>
      <c r="G51" s="28"/>
      <c r="H51" s="38"/>
      <c r="I51" s="28"/>
      <c r="J51" s="28"/>
      <c r="K51" s="1"/>
      <c r="L51" s="1"/>
      <c r="M51" s="4"/>
      <c r="N51" s="4"/>
      <c r="Q51" s="1"/>
      <c r="R51" s="5"/>
      <c r="T51" s="1"/>
      <c r="U51" s="5"/>
    </row>
    <row r="52" spans="1:21" ht="31.5" x14ac:dyDescent="0.2">
      <c r="A52" s="14" t="s">
        <v>279</v>
      </c>
      <c r="B52" s="14" t="s">
        <v>280</v>
      </c>
      <c r="C52" s="14" t="s">
        <v>281</v>
      </c>
      <c r="D52" s="14" t="s">
        <v>282</v>
      </c>
      <c r="E52" s="14" t="s">
        <v>283</v>
      </c>
      <c r="F52" s="15" t="s">
        <v>284</v>
      </c>
      <c r="G52" s="15" t="s">
        <v>285</v>
      </c>
      <c r="H52" s="16" t="s">
        <v>286</v>
      </c>
      <c r="I52" s="15" t="s">
        <v>287</v>
      </c>
      <c r="J52" s="15" t="s">
        <v>288</v>
      </c>
      <c r="K52" s="1"/>
      <c r="L52" s="1"/>
      <c r="M52" s="4"/>
      <c r="N52" s="4"/>
      <c r="Q52" s="1"/>
      <c r="R52" s="5"/>
      <c r="T52" s="1"/>
      <c r="U52" s="5"/>
    </row>
    <row r="53" spans="1:21" ht="15.75" x14ac:dyDescent="0.25">
      <c r="A53" s="18" t="s">
        <v>299</v>
      </c>
      <c r="B53" s="19"/>
      <c r="C53" s="20"/>
      <c r="D53" s="19"/>
      <c r="E53" s="21"/>
      <c r="F53" s="21"/>
      <c r="G53" s="21">
        <f t="shared" ref="G53" si="4">E53-F53-D53</f>
        <v>0</v>
      </c>
      <c r="H53" s="22"/>
      <c r="I53" s="23"/>
      <c r="J53" s="24"/>
      <c r="K53" s="1"/>
      <c r="L53" s="1"/>
      <c r="M53" s="4"/>
      <c r="N53" s="4"/>
      <c r="Q53" s="1"/>
      <c r="R53" s="5"/>
      <c r="T53" s="1"/>
      <c r="U53" s="5"/>
    </row>
    <row r="54" spans="1:21" ht="15.75" x14ac:dyDescent="0.25">
      <c r="A54" s="18"/>
      <c r="B54" s="19"/>
      <c r="C54" s="20"/>
      <c r="D54" s="19"/>
      <c r="E54" s="21"/>
      <c r="F54" s="21"/>
      <c r="G54" s="21"/>
      <c r="H54" s="22"/>
      <c r="I54" s="23"/>
      <c r="J54" s="25"/>
      <c r="K54" s="1"/>
      <c r="M54" s="4"/>
      <c r="N54" s="4"/>
      <c r="Q54" s="1"/>
      <c r="R54" s="5"/>
      <c r="T54" s="1"/>
      <c r="U54" s="5"/>
    </row>
    <row r="55" spans="1:21" ht="15.75" x14ac:dyDescent="0.25">
      <c r="A55" s="18"/>
      <c r="B55" s="19"/>
      <c r="C55" s="20"/>
      <c r="D55" s="19"/>
      <c r="E55" s="21"/>
      <c r="F55" s="21"/>
      <c r="G55" s="21"/>
      <c r="H55" s="22"/>
      <c r="I55" s="23"/>
      <c r="J55" s="25"/>
      <c r="K55" s="1"/>
      <c r="M55" s="4"/>
      <c r="N55" s="4"/>
      <c r="Q55" s="1"/>
      <c r="R55" s="5"/>
      <c r="T55" s="1"/>
      <c r="U55" s="5"/>
    </row>
    <row r="56" spans="1:21" ht="15.75" x14ac:dyDescent="0.25">
      <c r="A56" s="18"/>
      <c r="B56" s="19"/>
      <c r="C56" s="20"/>
      <c r="D56" s="19"/>
      <c r="E56" s="21"/>
      <c r="F56" s="21"/>
      <c r="G56" s="21"/>
      <c r="H56" s="22"/>
      <c r="I56" s="23"/>
      <c r="J56" s="25"/>
      <c r="K56" s="1"/>
      <c r="M56" s="4"/>
      <c r="N56" s="4"/>
      <c r="Q56" s="1"/>
      <c r="R56" s="5"/>
      <c r="T56" s="1"/>
      <c r="U56" s="5"/>
    </row>
    <row r="57" spans="1:21" ht="15.75" x14ac:dyDescent="0.25">
      <c r="A57" s="18"/>
      <c r="B57" s="19"/>
      <c r="C57" s="20"/>
      <c r="D57" s="19"/>
      <c r="E57" s="21"/>
      <c r="F57" s="21"/>
      <c r="G57" s="21"/>
      <c r="H57" s="22"/>
      <c r="I57" s="23"/>
      <c r="J57" s="25"/>
      <c r="K57" s="1"/>
      <c r="M57" s="4"/>
      <c r="N57" s="4"/>
      <c r="Q57" s="1"/>
      <c r="R57" s="5"/>
      <c r="T57" s="1"/>
      <c r="U57" s="5"/>
    </row>
    <row r="58" spans="1:21" ht="15.75" x14ac:dyDescent="0.25">
      <c r="A58" s="18"/>
      <c r="B58" s="19"/>
      <c r="C58" s="26"/>
      <c r="D58" s="21"/>
      <c r="E58" s="21"/>
      <c r="F58" s="21"/>
      <c r="G58" s="14">
        <f>SUM(G53:G56)</f>
        <v>0</v>
      </c>
      <c r="H58" s="22"/>
      <c r="I58" s="23"/>
      <c r="J58" s="25"/>
      <c r="K58" s="5"/>
      <c r="Q58" s="1"/>
      <c r="R58" s="5"/>
      <c r="T58" s="1"/>
      <c r="U58" s="5"/>
    </row>
    <row r="59" spans="1:21" ht="15.75" x14ac:dyDescent="0.25">
      <c r="A59" s="27"/>
      <c r="B59" s="28"/>
      <c r="C59" s="29"/>
      <c r="D59" s="29"/>
      <c r="E59" s="29"/>
      <c r="F59" s="29"/>
      <c r="G59" s="14"/>
      <c r="H59" s="30"/>
      <c r="I59" s="31"/>
      <c r="J59" s="25"/>
      <c r="K59" s="5"/>
      <c r="Q59" s="1"/>
      <c r="R59" s="5"/>
      <c r="T59" s="1"/>
      <c r="U59" s="5"/>
    </row>
    <row r="60" spans="1:21" ht="15.75" x14ac:dyDescent="0.25">
      <c r="A60" s="27"/>
      <c r="B60" s="28"/>
      <c r="C60" s="29"/>
      <c r="D60" s="29"/>
      <c r="E60" s="29"/>
      <c r="F60" s="29"/>
      <c r="G60" s="30">
        <f>G59*10000</f>
        <v>0</v>
      </c>
      <c r="H60" s="30">
        <f>SUM(H53:H59)</f>
        <v>0</v>
      </c>
      <c r="I60" s="30">
        <f>SUM(I53:I58)</f>
        <v>0</v>
      </c>
      <c r="J60" s="25"/>
      <c r="K60" s="5"/>
      <c r="Q60" s="1"/>
      <c r="R60" s="5"/>
      <c r="T60" s="1"/>
      <c r="U60" s="5"/>
    </row>
    <row r="61" spans="1:21" ht="15.75" x14ac:dyDescent="0.2">
      <c r="A61" s="32" t="s">
        <v>285</v>
      </c>
      <c r="B61" s="33"/>
      <c r="C61" s="33"/>
      <c r="D61" s="33"/>
      <c r="E61" s="33"/>
      <c r="F61" s="34"/>
      <c r="G61" s="35">
        <f>SUM(G60:I60)</f>
        <v>0</v>
      </c>
      <c r="H61" s="36"/>
      <c r="I61" s="36"/>
      <c r="J61" s="37"/>
      <c r="K61" s="5"/>
      <c r="Q61" s="1"/>
      <c r="R61" s="5"/>
      <c r="T61" s="1"/>
      <c r="U61" s="5"/>
    </row>
    <row r="62" spans="1:21" ht="15.75" x14ac:dyDescent="0.25">
      <c r="A62" s="28"/>
      <c r="B62" s="28"/>
      <c r="C62" s="28"/>
      <c r="D62" s="28"/>
      <c r="E62" s="28"/>
      <c r="F62" s="28"/>
      <c r="G62" s="28"/>
      <c r="H62" s="38"/>
      <c r="I62" s="28"/>
      <c r="J62" s="28"/>
      <c r="K62" s="5"/>
      <c r="Q62" s="1"/>
      <c r="R62" s="5"/>
      <c r="T62" s="1"/>
      <c r="U62" s="5"/>
    </row>
    <row r="63" spans="1:21" ht="31.5" x14ac:dyDescent="0.2">
      <c r="A63" s="14" t="s">
        <v>279</v>
      </c>
      <c r="B63" s="14" t="s">
        <v>280</v>
      </c>
      <c r="C63" s="14" t="s">
        <v>281</v>
      </c>
      <c r="D63" s="14" t="s">
        <v>282</v>
      </c>
      <c r="E63" s="14" t="s">
        <v>283</v>
      </c>
      <c r="F63" s="15" t="s">
        <v>284</v>
      </c>
      <c r="G63" s="15" t="s">
        <v>285</v>
      </c>
      <c r="H63" s="16" t="s">
        <v>286</v>
      </c>
      <c r="I63" s="15" t="s">
        <v>287</v>
      </c>
      <c r="J63" s="15" t="s">
        <v>288</v>
      </c>
      <c r="K63" s="5"/>
      <c r="M63" s="4"/>
      <c r="Q63" s="1"/>
      <c r="R63" s="5"/>
      <c r="T63" s="1"/>
      <c r="U63" s="5"/>
    </row>
    <row r="64" spans="1:21" ht="15.75" x14ac:dyDescent="0.25">
      <c r="A64" s="18" t="s">
        <v>300</v>
      </c>
      <c r="B64" s="19" t="s">
        <v>290</v>
      </c>
      <c r="C64" s="20">
        <v>45957</v>
      </c>
      <c r="D64" s="19">
        <v>7.49</v>
      </c>
      <c r="E64" s="21">
        <v>17.350000000000001</v>
      </c>
      <c r="F64" s="21">
        <v>8</v>
      </c>
      <c r="G64" s="21">
        <f t="shared" ref="G64:G65" si="5">E64-F64-D64</f>
        <v>1.8600000000000012</v>
      </c>
      <c r="H64" s="22"/>
      <c r="I64" s="23"/>
      <c r="J64" s="24"/>
      <c r="K64" s="5"/>
      <c r="M64" s="4"/>
      <c r="Q64" s="1"/>
      <c r="R64" s="5"/>
      <c r="T64" s="1"/>
      <c r="U64" s="5"/>
    </row>
    <row r="65" spans="1:21" ht="15.75" x14ac:dyDescent="0.25">
      <c r="A65" s="18"/>
      <c r="B65" s="19" t="s">
        <v>296</v>
      </c>
      <c r="C65" s="20">
        <v>45958</v>
      </c>
      <c r="D65" s="19">
        <v>7.16</v>
      </c>
      <c r="E65" s="21">
        <v>16.059999999999999</v>
      </c>
      <c r="F65" s="21">
        <v>8</v>
      </c>
      <c r="G65" s="21">
        <f t="shared" si="5"/>
        <v>0.89999999999999858</v>
      </c>
      <c r="H65" s="22"/>
      <c r="I65" s="23"/>
      <c r="J65" s="25"/>
      <c r="K65" s="5"/>
      <c r="M65" s="4"/>
      <c r="Q65" s="1"/>
      <c r="R65" s="5"/>
      <c r="T65" s="1"/>
      <c r="U65" s="5"/>
    </row>
    <row r="66" spans="1:21" ht="15.75" x14ac:dyDescent="0.25">
      <c r="A66" s="18"/>
      <c r="B66" s="19"/>
      <c r="C66" s="20"/>
      <c r="D66" s="19"/>
      <c r="E66" s="21"/>
      <c r="F66" s="21"/>
      <c r="G66" s="21"/>
      <c r="H66" s="22"/>
      <c r="I66" s="23"/>
      <c r="J66" s="25"/>
      <c r="K66" s="5"/>
      <c r="M66" s="4"/>
      <c r="Q66" s="1"/>
      <c r="R66" s="5"/>
      <c r="T66" s="1"/>
      <c r="U66" s="5"/>
    </row>
    <row r="67" spans="1:21" ht="15.75" x14ac:dyDescent="0.25">
      <c r="A67" s="18"/>
      <c r="B67" s="19"/>
      <c r="C67" s="20"/>
      <c r="D67" s="19"/>
      <c r="E67" s="21"/>
      <c r="F67" s="21"/>
      <c r="G67" s="21"/>
      <c r="H67" s="22"/>
      <c r="I67" s="23"/>
      <c r="J67" s="25"/>
      <c r="K67" s="5"/>
      <c r="Q67" s="1"/>
      <c r="R67" s="5"/>
      <c r="T67" s="1"/>
      <c r="U67" s="5"/>
    </row>
    <row r="68" spans="1:21" ht="15.75" x14ac:dyDescent="0.25">
      <c r="A68" s="18"/>
      <c r="B68" s="19"/>
      <c r="C68" s="20"/>
      <c r="D68" s="19"/>
      <c r="E68" s="21"/>
      <c r="F68" s="21"/>
      <c r="G68" s="21"/>
      <c r="H68" s="22"/>
      <c r="I68" s="23"/>
      <c r="J68" s="25"/>
      <c r="K68" s="5"/>
      <c r="Q68" s="1"/>
      <c r="R68" s="5"/>
      <c r="T68" s="1"/>
      <c r="U68" s="5"/>
    </row>
    <row r="69" spans="1:21" ht="15.75" x14ac:dyDescent="0.25">
      <c r="A69" s="18"/>
      <c r="B69" s="19"/>
      <c r="C69" s="26"/>
      <c r="D69" s="21"/>
      <c r="E69" s="21"/>
      <c r="F69" s="21"/>
      <c r="G69" s="14">
        <f>SUM(G64:G67)</f>
        <v>2.76</v>
      </c>
      <c r="H69" s="22"/>
      <c r="I69" s="23"/>
      <c r="J69" s="25"/>
      <c r="K69" s="5"/>
      <c r="Q69" s="1"/>
      <c r="R69" s="5"/>
      <c r="T69" s="1"/>
      <c r="U69" s="5"/>
    </row>
    <row r="70" spans="1:21" ht="15.75" x14ac:dyDescent="0.25">
      <c r="A70" s="27"/>
      <c r="B70" s="28"/>
      <c r="C70" s="29"/>
      <c r="D70" s="29"/>
      <c r="E70" s="29"/>
      <c r="F70" s="29"/>
      <c r="G70" s="14">
        <v>3</v>
      </c>
      <c r="H70" s="30"/>
      <c r="I70" s="31"/>
      <c r="J70" s="25"/>
      <c r="K70" s="5"/>
      <c r="Q70" s="1"/>
      <c r="R70" s="5"/>
      <c r="T70" s="1"/>
      <c r="U70" s="5"/>
    </row>
    <row r="71" spans="1:21" ht="15.75" x14ac:dyDescent="0.25">
      <c r="A71" s="27"/>
      <c r="B71" s="28"/>
      <c r="C71" s="29"/>
      <c r="D71" s="29"/>
      <c r="E71" s="29"/>
      <c r="F71" s="29"/>
      <c r="G71" s="30">
        <f>G70*10000</f>
        <v>30000</v>
      </c>
      <c r="H71" s="30">
        <f>SUM(H64:H70)</f>
        <v>0</v>
      </c>
      <c r="I71" s="30">
        <f>SUM(I64:I69)</f>
        <v>0</v>
      </c>
      <c r="J71" s="25"/>
      <c r="K71" s="5"/>
      <c r="Q71" s="1"/>
      <c r="R71" s="5"/>
      <c r="T71" s="1"/>
      <c r="U71" s="5"/>
    </row>
    <row r="72" spans="1:21" ht="15.75" x14ac:dyDescent="0.2">
      <c r="A72" s="32" t="s">
        <v>285</v>
      </c>
      <c r="B72" s="33"/>
      <c r="C72" s="33"/>
      <c r="D72" s="33"/>
      <c r="E72" s="33"/>
      <c r="F72" s="34"/>
      <c r="G72" s="39">
        <f>SUM(G71:I71)</f>
        <v>30000</v>
      </c>
      <c r="H72" s="39"/>
      <c r="I72" s="39"/>
      <c r="J72" s="37"/>
      <c r="K72" s="5"/>
      <c r="Q72" s="1"/>
      <c r="R72" s="5"/>
      <c r="T72" s="1"/>
      <c r="U72" s="5"/>
    </row>
    <row r="73" spans="1:21" ht="15.75" x14ac:dyDescent="0.25">
      <c r="A73" s="28"/>
      <c r="B73" s="28"/>
      <c r="C73" s="28"/>
      <c r="D73" s="28"/>
      <c r="E73" s="28"/>
      <c r="F73" s="28"/>
      <c r="G73" s="28"/>
      <c r="H73" s="38"/>
      <c r="I73" s="28"/>
      <c r="J73" s="28"/>
      <c r="K73" s="5"/>
      <c r="Q73" s="1"/>
      <c r="R73" s="5"/>
      <c r="T73" s="1"/>
      <c r="U73" s="5"/>
    </row>
    <row r="74" spans="1:21" ht="31.5" x14ac:dyDescent="0.2">
      <c r="A74" s="14" t="s">
        <v>279</v>
      </c>
      <c r="B74" s="14" t="s">
        <v>280</v>
      </c>
      <c r="C74" s="14" t="s">
        <v>281</v>
      </c>
      <c r="D74" s="14" t="s">
        <v>282</v>
      </c>
      <c r="E74" s="14" t="s">
        <v>283</v>
      </c>
      <c r="F74" s="15" t="s">
        <v>284</v>
      </c>
      <c r="G74" s="15" t="s">
        <v>285</v>
      </c>
      <c r="H74" s="16" t="s">
        <v>286</v>
      </c>
      <c r="I74" s="15" t="s">
        <v>287</v>
      </c>
      <c r="J74" s="15" t="s">
        <v>288</v>
      </c>
      <c r="K74" s="5"/>
      <c r="M74" s="5"/>
      <c r="N74" s="5"/>
      <c r="Q74" s="1"/>
      <c r="R74" s="5"/>
      <c r="T74" s="1"/>
      <c r="U74" s="5"/>
    </row>
    <row r="75" spans="1:21" ht="12.75" customHeight="1" x14ac:dyDescent="0.25">
      <c r="A75" s="18" t="s">
        <v>301</v>
      </c>
      <c r="B75" s="19"/>
      <c r="C75" s="20"/>
      <c r="D75" s="19"/>
      <c r="E75" s="21"/>
      <c r="F75" s="21"/>
      <c r="G75" s="21">
        <f t="shared" ref="G75" si="6">E75-F75-D75</f>
        <v>0</v>
      </c>
      <c r="H75" s="22"/>
      <c r="I75" s="42"/>
      <c r="J75" s="43"/>
      <c r="K75" s="5"/>
      <c r="M75" s="5"/>
      <c r="N75" s="5"/>
      <c r="Q75" s="1"/>
      <c r="R75" s="5"/>
      <c r="T75" s="1"/>
      <c r="U75" s="5"/>
    </row>
    <row r="76" spans="1:21" ht="15.75" x14ac:dyDescent="0.25">
      <c r="A76" s="18"/>
      <c r="B76" s="19"/>
      <c r="C76" s="20"/>
      <c r="D76" s="19"/>
      <c r="E76" s="21"/>
      <c r="F76" s="21"/>
      <c r="G76" s="21"/>
      <c r="H76" s="22"/>
      <c r="I76" s="42"/>
      <c r="J76" s="43"/>
      <c r="K76" s="5"/>
      <c r="M76" s="4"/>
      <c r="N76" s="5"/>
      <c r="Q76" s="1"/>
      <c r="R76" s="5"/>
      <c r="T76" s="1"/>
      <c r="U76" s="5"/>
    </row>
    <row r="77" spans="1:21" ht="15.75" x14ac:dyDescent="0.25">
      <c r="A77" s="18"/>
      <c r="B77" s="19"/>
      <c r="C77" s="20"/>
      <c r="D77" s="19"/>
      <c r="E77" s="21"/>
      <c r="F77" s="21"/>
      <c r="G77" s="21"/>
      <c r="H77" s="22"/>
      <c r="I77" s="42"/>
      <c r="J77" s="43"/>
      <c r="K77" s="5"/>
      <c r="M77" s="4"/>
      <c r="N77" s="5"/>
      <c r="Q77" s="1"/>
      <c r="R77" s="5"/>
      <c r="T77" s="1"/>
      <c r="U77" s="5"/>
    </row>
    <row r="78" spans="1:21" ht="15.75" x14ac:dyDescent="0.25">
      <c r="A78" s="18"/>
      <c r="B78" s="19"/>
      <c r="C78" s="20"/>
      <c r="D78" s="19"/>
      <c r="E78" s="21"/>
      <c r="F78" s="21"/>
      <c r="G78" s="21"/>
      <c r="H78" s="22"/>
      <c r="I78" s="42"/>
      <c r="J78" s="43"/>
      <c r="K78" s="5"/>
      <c r="M78" s="5"/>
      <c r="N78" s="5"/>
      <c r="Q78" s="1"/>
      <c r="R78" s="5"/>
      <c r="T78" s="1"/>
      <c r="U78" s="5"/>
    </row>
    <row r="79" spans="1:21" ht="15.75" x14ac:dyDescent="0.25">
      <c r="A79" s="18"/>
      <c r="B79" s="19"/>
      <c r="C79" s="20"/>
      <c r="D79" s="19"/>
      <c r="E79" s="21"/>
      <c r="F79" s="21"/>
      <c r="G79" s="21"/>
      <c r="H79" s="22"/>
      <c r="I79" s="42"/>
      <c r="J79" s="43"/>
      <c r="K79" s="5"/>
      <c r="Q79" s="1"/>
      <c r="R79" s="5"/>
      <c r="T79" s="1"/>
      <c r="U79" s="5"/>
    </row>
    <row r="80" spans="1:21" ht="15.75" x14ac:dyDescent="0.25">
      <c r="A80" s="18"/>
      <c r="B80" s="19"/>
      <c r="C80" s="26"/>
      <c r="D80" s="21"/>
      <c r="E80" s="21"/>
      <c r="F80" s="21"/>
      <c r="G80" s="14">
        <f>SUM(G75:G78)</f>
        <v>0</v>
      </c>
      <c r="H80" s="22"/>
      <c r="I80" s="42"/>
      <c r="J80" s="43"/>
      <c r="K80" s="5"/>
      <c r="Q80" s="1"/>
      <c r="R80" s="5"/>
      <c r="T80" s="1"/>
      <c r="U80" s="5"/>
    </row>
    <row r="81" spans="1:21" ht="15.75" x14ac:dyDescent="0.25">
      <c r="A81" s="27"/>
      <c r="B81" s="28"/>
      <c r="C81" s="29"/>
      <c r="D81" s="29"/>
      <c r="E81" s="29"/>
      <c r="F81" s="29"/>
      <c r="G81" s="14"/>
      <c r="H81" s="30"/>
      <c r="I81" s="44"/>
      <c r="J81" s="43"/>
      <c r="K81" s="5"/>
      <c r="Q81" s="1"/>
      <c r="R81" s="5"/>
      <c r="T81" s="1"/>
      <c r="U81" s="5"/>
    </row>
    <row r="82" spans="1:21" ht="15.75" x14ac:dyDescent="0.25">
      <c r="A82" s="27"/>
      <c r="B82" s="28"/>
      <c r="C82" s="29"/>
      <c r="D82" s="29"/>
      <c r="E82" s="29"/>
      <c r="F82" s="29"/>
      <c r="G82" s="30">
        <f>G81*10000</f>
        <v>0</v>
      </c>
      <c r="H82" s="30">
        <f>SUM(H75:H81)</f>
        <v>0</v>
      </c>
      <c r="I82" s="45">
        <f>SUM(I75:I80)</f>
        <v>0</v>
      </c>
      <c r="J82" s="43"/>
      <c r="K82" s="5"/>
      <c r="Q82" s="1"/>
      <c r="R82" s="5"/>
      <c r="T82" s="1"/>
      <c r="U82" s="5"/>
    </row>
    <row r="83" spans="1:21" ht="15.75" x14ac:dyDescent="0.2">
      <c r="A83" s="32" t="s">
        <v>285</v>
      </c>
      <c r="B83" s="33"/>
      <c r="C83" s="33"/>
      <c r="D83" s="33"/>
      <c r="E83" s="33"/>
      <c r="F83" s="34"/>
      <c r="G83" s="35">
        <f>SUM(G82:I82)</f>
        <v>0</v>
      </c>
      <c r="H83" s="36"/>
      <c r="I83" s="36"/>
      <c r="J83" s="43"/>
      <c r="K83" s="5"/>
      <c r="Q83" s="1"/>
      <c r="R83" s="5"/>
      <c r="T83" s="1"/>
      <c r="U83" s="5"/>
    </row>
    <row r="84" spans="1:21" ht="15.75" x14ac:dyDescent="0.25">
      <c r="A84" s="28"/>
      <c r="B84" s="28"/>
      <c r="C84" s="28"/>
      <c r="D84" s="28"/>
      <c r="E84" s="28"/>
      <c r="F84" s="28"/>
      <c r="G84" s="28"/>
      <c r="H84" s="38"/>
      <c r="I84" s="28"/>
      <c r="J84" s="28"/>
      <c r="K84" s="5"/>
      <c r="Q84" s="1"/>
      <c r="R84" s="5"/>
      <c r="T84" s="1"/>
      <c r="U84" s="5"/>
    </row>
    <row r="85" spans="1:21" ht="31.5" x14ac:dyDescent="0.2">
      <c r="A85" s="14" t="s">
        <v>279</v>
      </c>
      <c r="B85" s="14" t="s">
        <v>280</v>
      </c>
      <c r="C85" s="14" t="s">
        <v>281</v>
      </c>
      <c r="D85" s="14" t="s">
        <v>282</v>
      </c>
      <c r="E85" s="14" t="s">
        <v>283</v>
      </c>
      <c r="F85" s="15" t="s">
        <v>284</v>
      </c>
      <c r="G85" s="15" t="s">
        <v>285</v>
      </c>
      <c r="H85" s="16" t="s">
        <v>286</v>
      </c>
      <c r="I85" s="15" t="s">
        <v>287</v>
      </c>
      <c r="J85" s="15" t="s">
        <v>288</v>
      </c>
      <c r="K85" s="5"/>
      <c r="Q85" s="1"/>
      <c r="R85" s="5"/>
      <c r="T85" s="1"/>
      <c r="U85" s="5"/>
    </row>
    <row r="86" spans="1:21" ht="15.75" x14ac:dyDescent="0.25">
      <c r="A86" s="18" t="s">
        <v>302</v>
      </c>
      <c r="B86" s="19"/>
      <c r="C86" s="20"/>
      <c r="D86" s="19"/>
      <c r="E86" s="21"/>
      <c r="F86" s="21"/>
      <c r="G86" s="21">
        <f t="shared" ref="G86" si="7">E86-F86-D86</f>
        <v>0</v>
      </c>
      <c r="H86" s="22"/>
      <c r="I86" s="23"/>
      <c r="J86" s="24"/>
      <c r="K86" s="5"/>
      <c r="Q86" s="1"/>
      <c r="R86" s="5"/>
      <c r="T86" s="1"/>
      <c r="U86" s="5"/>
    </row>
    <row r="87" spans="1:21" ht="15.75" x14ac:dyDescent="0.25">
      <c r="A87" s="18"/>
      <c r="B87" s="19"/>
      <c r="C87" s="20"/>
      <c r="D87" s="19"/>
      <c r="E87" s="21"/>
      <c r="F87" s="21"/>
      <c r="G87" s="21"/>
      <c r="H87" s="22"/>
      <c r="I87" s="23"/>
      <c r="J87" s="25"/>
      <c r="K87" s="5"/>
      <c r="Q87" s="1"/>
      <c r="R87" s="5"/>
      <c r="T87" s="1"/>
      <c r="U87" s="5"/>
    </row>
    <row r="88" spans="1:21" ht="15.75" x14ac:dyDescent="0.25">
      <c r="A88" s="18"/>
      <c r="B88" s="19"/>
      <c r="C88" s="20"/>
      <c r="D88" s="19"/>
      <c r="E88" s="21"/>
      <c r="F88" s="21"/>
      <c r="G88" s="21"/>
      <c r="H88" s="22"/>
      <c r="I88" s="23"/>
      <c r="J88" s="25"/>
      <c r="K88" s="5"/>
      <c r="Q88" s="1"/>
      <c r="R88" s="5"/>
      <c r="T88" s="1"/>
      <c r="U88" s="5"/>
    </row>
    <row r="89" spans="1:21" ht="15.75" x14ac:dyDescent="0.25">
      <c r="A89" s="18"/>
      <c r="B89" s="19"/>
      <c r="C89" s="20"/>
      <c r="D89" s="19"/>
      <c r="E89" s="21"/>
      <c r="F89" s="21"/>
      <c r="G89" s="21"/>
      <c r="H89" s="22"/>
      <c r="I89" s="23"/>
      <c r="J89" s="25"/>
      <c r="K89" s="5"/>
      <c r="Q89" s="1"/>
      <c r="R89" s="5"/>
      <c r="T89" s="1"/>
      <c r="U89" s="5"/>
    </row>
    <row r="90" spans="1:21" ht="15.75" x14ac:dyDescent="0.25">
      <c r="A90" s="18"/>
      <c r="B90" s="19"/>
      <c r="C90" s="20"/>
      <c r="D90" s="19"/>
      <c r="E90" s="21"/>
      <c r="F90" s="21"/>
      <c r="G90" s="21"/>
      <c r="H90" s="22"/>
      <c r="I90" s="23"/>
      <c r="J90" s="25"/>
      <c r="K90" s="5"/>
      <c r="Q90" s="1"/>
      <c r="R90" s="5"/>
      <c r="T90" s="1"/>
      <c r="U90" s="5"/>
    </row>
    <row r="91" spans="1:21" ht="15.75" x14ac:dyDescent="0.25">
      <c r="A91" s="18"/>
      <c r="B91" s="19"/>
      <c r="C91" s="26"/>
      <c r="D91" s="21"/>
      <c r="E91" s="21"/>
      <c r="F91" s="21"/>
      <c r="G91" s="14">
        <f>SUM(G86:G89)</f>
        <v>0</v>
      </c>
      <c r="H91" s="22"/>
      <c r="I91" s="23"/>
      <c r="J91" s="25"/>
      <c r="Q91" s="1"/>
      <c r="R91" s="5"/>
      <c r="T91" s="1"/>
      <c r="U91" s="5"/>
    </row>
    <row r="92" spans="1:21" ht="15.75" x14ac:dyDescent="0.25">
      <c r="A92" s="27"/>
      <c r="B92" s="28"/>
      <c r="C92" s="29"/>
      <c r="D92" s="29"/>
      <c r="E92" s="29"/>
      <c r="F92" s="29"/>
      <c r="G92" s="14"/>
      <c r="H92" s="30"/>
      <c r="I92" s="31"/>
      <c r="J92" s="25"/>
      <c r="Q92" s="1"/>
      <c r="R92" s="5"/>
      <c r="T92" s="1"/>
      <c r="U92" s="5"/>
    </row>
    <row r="93" spans="1:21" ht="15.75" x14ac:dyDescent="0.25">
      <c r="A93" s="27"/>
      <c r="B93" s="28"/>
      <c r="C93" s="29"/>
      <c r="D93" s="29"/>
      <c r="E93" s="29"/>
      <c r="F93" s="29"/>
      <c r="G93" s="30">
        <f>G92*10000</f>
        <v>0</v>
      </c>
      <c r="H93" s="30">
        <f>SUM(H86:H92)</f>
        <v>0</v>
      </c>
      <c r="I93" s="30">
        <f>SUM(I86:I91)</f>
        <v>0</v>
      </c>
      <c r="J93" s="25"/>
      <c r="Q93" s="1"/>
      <c r="R93" s="5"/>
      <c r="T93" s="1"/>
      <c r="U93" s="5"/>
    </row>
    <row r="94" spans="1:21" ht="15.75" x14ac:dyDescent="0.2">
      <c r="A94" s="32" t="s">
        <v>285</v>
      </c>
      <c r="B94" s="33"/>
      <c r="C94" s="33"/>
      <c r="D94" s="33"/>
      <c r="E94" s="33"/>
      <c r="F94" s="34"/>
      <c r="G94" s="35">
        <f>SUM(G93:I93)</f>
        <v>0</v>
      </c>
      <c r="H94" s="36"/>
      <c r="I94" s="36"/>
      <c r="J94" s="37"/>
      <c r="Q94" s="1"/>
      <c r="R94" s="5"/>
      <c r="T94" s="1"/>
      <c r="U94" s="5"/>
    </row>
    <row r="95" spans="1:21" ht="15.75" x14ac:dyDescent="0.25">
      <c r="A95" s="28"/>
      <c r="B95" s="28"/>
      <c r="C95" s="28"/>
      <c r="D95" s="28"/>
      <c r="E95" s="28"/>
      <c r="F95" s="28"/>
      <c r="G95" s="28"/>
      <c r="H95" s="38"/>
      <c r="I95" s="28"/>
      <c r="J95" s="28"/>
      <c r="K95" s="5"/>
      <c r="Q95" s="1"/>
      <c r="R95" s="5"/>
      <c r="T95" s="1"/>
      <c r="U95" s="5"/>
    </row>
    <row r="96" spans="1:21" ht="31.5" x14ac:dyDescent="0.2">
      <c r="A96" s="14" t="s">
        <v>279</v>
      </c>
      <c r="B96" s="14" t="s">
        <v>280</v>
      </c>
      <c r="C96" s="14" t="s">
        <v>281</v>
      </c>
      <c r="D96" s="14" t="s">
        <v>282</v>
      </c>
      <c r="E96" s="14" t="s">
        <v>283</v>
      </c>
      <c r="F96" s="15" t="s">
        <v>284</v>
      </c>
      <c r="G96" s="15" t="s">
        <v>285</v>
      </c>
      <c r="H96" s="16" t="s">
        <v>286</v>
      </c>
      <c r="I96" s="15" t="s">
        <v>287</v>
      </c>
      <c r="J96" s="15" t="s">
        <v>288</v>
      </c>
      <c r="K96" s="5"/>
      <c r="Q96" s="1"/>
      <c r="R96" s="5"/>
      <c r="T96" s="1"/>
      <c r="U96" s="5"/>
    </row>
    <row r="97" spans="1:21" ht="15.75" x14ac:dyDescent="0.25">
      <c r="A97" s="18" t="s">
        <v>303</v>
      </c>
      <c r="B97" s="19" t="s">
        <v>290</v>
      </c>
      <c r="C97" s="20">
        <v>45957</v>
      </c>
      <c r="D97" s="19">
        <v>7.53</v>
      </c>
      <c r="E97" s="21">
        <v>17.34</v>
      </c>
      <c r="F97" s="21">
        <v>8</v>
      </c>
      <c r="G97" s="21">
        <f t="shared" ref="G97" si="8">E97-F97-D97</f>
        <v>1.8099999999999996</v>
      </c>
      <c r="H97" s="22"/>
      <c r="I97" s="23"/>
      <c r="J97" s="24"/>
      <c r="K97" s="1"/>
      <c r="M97" s="5"/>
      <c r="Q97" s="1"/>
      <c r="R97" s="5"/>
      <c r="T97" s="1"/>
      <c r="U97" s="5"/>
    </row>
    <row r="98" spans="1:21" ht="15.75" x14ac:dyDescent="0.25">
      <c r="A98" s="18"/>
      <c r="B98" s="19"/>
      <c r="C98" s="20"/>
      <c r="D98" s="19"/>
      <c r="E98" s="21"/>
      <c r="F98" s="21"/>
      <c r="G98" s="21"/>
      <c r="H98" s="22"/>
      <c r="I98" s="23"/>
      <c r="J98" s="25"/>
      <c r="K98" s="1"/>
      <c r="M98" s="5"/>
      <c r="Q98" s="1"/>
      <c r="R98" s="5"/>
      <c r="T98" s="1"/>
      <c r="U98" s="5"/>
    </row>
    <row r="99" spans="1:21" ht="15.75" x14ac:dyDescent="0.25">
      <c r="A99" s="18"/>
      <c r="B99" s="19"/>
      <c r="C99" s="20"/>
      <c r="D99" s="19"/>
      <c r="E99" s="21"/>
      <c r="F99" s="21"/>
      <c r="G99" s="21"/>
      <c r="H99" s="22"/>
      <c r="I99" s="23"/>
      <c r="J99" s="25"/>
      <c r="K99" s="1"/>
      <c r="Q99" s="1"/>
      <c r="R99" s="5"/>
      <c r="T99" s="1"/>
      <c r="U99" s="5"/>
    </row>
    <row r="100" spans="1:21" ht="15.75" x14ac:dyDescent="0.25">
      <c r="A100" s="18"/>
      <c r="B100" s="19"/>
      <c r="C100" s="20"/>
      <c r="D100" s="19"/>
      <c r="E100" s="21"/>
      <c r="F100" s="21"/>
      <c r="G100" s="21"/>
      <c r="H100" s="22"/>
      <c r="I100" s="23"/>
      <c r="J100" s="25"/>
      <c r="K100" s="1"/>
      <c r="Q100" s="1"/>
      <c r="R100" s="5"/>
      <c r="T100" s="1"/>
      <c r="U100" s="5"/>
    </row>
    <row r="101" spans="1:21" ht="15.75" x14ac:dyDescent="0.25">
      <c r="A101" s="18"/>
      <c r="B101" s="19"/>
      <c r="C101" s="20"/>
      <c r="D101" s="19"/>
      <c r="E101" s="21"/>
      <c r="F101" s="21"/>
      <c r="G101" s="21"/>
      <c r="H101" s="22"/>
      <c r="I101" s="23"/>
      <c r="J101" s="25"/>
      <c r="K101" s="1"/>
      <c r="Q101" s="1"/>
      <c r="R101" s="5"/>
      <c r="T101" s="1"/>
      <c r="U101" s="5"/>
    </row>
    <row r="102" spans="1:21" ht="15.75" x14ac:dyDescent="0.25">
      <c r="A102" s="18"/>
      <c r="B102" s="19"/>
      <c r="C102" s="26"/>
      <c r="D102" s="21"/>
      <c r="E102" s="21"/>
      <c r="F102" s="21"/>
      <c r="G102" s="14">
        <f>SUM(G97:G100)</f>
        <v>1.8099999999999996</v>
      </c>
      <c r="H102" s="22"/>
      <c r="I102" s="23"/>
      <c r="J102" s="25"/>
      <c r="Q102" s="1"/>
      <c r="R102" s="5"/>
      <c r="T102" s="1"/>
      <c r="U102" s="5"/>
    </row>
    <row r="103" spans="1:21" ht="15.75" x14ac:dyDescent="0.25">
      <c r="A103" s="27"/>
      <c r="B103" s="28"/>
      <c r="C103" s="29"/>
      <c r="D103" s="29"/>
      <c r="E103" s="29"/>
      <c r="F103" s="29"/>
      <c r="G103" s="14">
        <v>2</v>
      </c>
      <c r="H103" s="30"/>
      <c r="I103" s="31"/>
      <c r="J103" s="25"/>
      <c r="Q103" s="1"/>
      <c r="R103" s="5"/>
    </row>
    <row r="104" spans="1:21" ht="15.75" x14ac:dyDescent="0.25">
      <c r="A104" s="27"/>
      <c r="B104" s="28"/>
      <c r="C104" s="29"/>
      <c r="D104" s="29"/>
      <c r="E104" s="29"/>
      <c r="F104" s="29"/>
      <c r="G104" s="30">
        <f>G103*10000</f>
        <v>20000</v>
      </c>
      <c r="H104" s="30">
        <f>SUM(H97:H103)</f>
        <v>0</v>
      </c>
      <c r="I104" s="30">
        <f>SUM(I97:I102)</f>
        <v>0</v>
      </c>
      <c r="J104" s="25"/>
      <c r="Q104" s="1"/>
      <c r="R104" s="5"/>
    </row>
    <row r="105" spans="1:21" ht="15.75" x14ac:dyDescent="0.2">
      <c r="A105" s="32" t="s">
        <v>285</v>
      </c>
      <c r="B105" s="33"/>
      <c r="C105" s="33"/>
      <c r="D105" s="33"/>
      <c r="E105" s="33"/>
      <c r="F105" s="33"/>
      <c r="G105" s="39">
        <f>SUM(G104:I104)</f>
        <v>20000</v>
      </c>
      <c r="H105" s="39"/>
      <c r="I105" s="39"/>
      <c r="J105" s="37"/>
      <c r="Q105" s="1"/>
      <c r="R105" s="5"/>
    </row>
    <row r="106" spans="1:21" ht="15" customHeight="1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5"/>
      <c r="Q106" s="1"/>
      <c r="R106" s="5"/>
    </row>
    <row r="107" spans="1:21" ht="15.75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5"/>
      <c r="Q107" s="1"/>
      <c r="R107" s="5"/>
    </row>
    <row r="108" spans="1:21" ht="31.5" x14ac:dyDescent="0.2">
      <c r="A108" s="14" t="s">
        <v>279</v>
      </c>
      <c r="B108" s="14" t="s">
        <v>280</v>
      </c>
      <c r="C108" s="14" t="s">
        <v>281</v>
      </c>
      <c r="D108" s="14" t="s">
        <v>282</v>
      </c>
      <c r="E108" s="14" t="s">
        <v>283</v>
      </c>
      <c r="F108" s="46" t="s">
        <v>284</v>
      </c>
      <c r="G108" s="15" t="s">
        <v>285</v>
      </c>
      <c r="H108" s="16" t="s">
        <v>286</v>
      </c>
      <c r="I108" s="15" t="s">
        <v>287</v>
      </c>
      <c r="J108" s="47" t="s">
        <v>288</v>
      </c>
      <c r="K108" s="5"/>
      <c r="Q108" s="1"/>
      <c r="R108" s="5"/>
    </row>
    <row r="109" spans="1:21" ht="15.75" x14ac:dyDescent="0.25">
      <c r="A109" s="18" t="s">
        <v>304</v>
      </c>
      <c r="B109" s="19"/>
      <c r="C109" s="20"/>
      <c r="D109" s="19"/>
      <c r="E109" s="21"/>
      <c r="F109" s="48"/>
      <c r="G109" s="21">
        <f t="shared" ref="G109" si="9">E109-F109-D109</f>
        <v>0</v>
      </c>
      <c r="H109" s="22"/>
      <c r="I109" s="23"/>
      <c r="J109" s="24"/>
      <c r="K109" s="1"/>
      <c r="Q109" s="1"/>
      <c r="R109" s="5"/>
    </row>
    <row r="110" spans="1:21" ht="15.75" x14ac:dyDescent="0.25">
      <c r="A110" s="18"/>
      <c r="B110" s="19"/>
      <c r="C110" s="20"/>
      <c r="D110" s="19"/>
      <c r="E110" s="21"/>
      <c r="F110" s="48"/>
      <c r="G110" s="21"/>
      <c r="H110" s="22"/>
      <c r="I110" s="23"/>
      <c r="J110" s="25"/>
      <c r="K110" s="1"/>
      <c r="Q110" s="1"/>
      <c r="R110" s="5"/>
    </row>
    <row r="111" spans="1:21" ht="15.75" x14ac:dyDescent="0.25">
      <c r="A111" s="18"/>
      <c r="B111" s="19"/>
      <c r="C111" s="20"/>
      <c r="D111" s="19"/>
      <c r="E111" s="21"/>
      <c r="F111" s="48"/>
      <c r="G111" s="21"/>
      <c r="H111" s="22"/>
      <c r="I111" s="23"/>
      <c r="J111" s="25"/>
      <c r="K111" s="1"/>
      <c r="Q111" s="1"/>
      <c r="R111" s="5"/>
    </row>
    <row r="112" spans="1:21" ht="15.75" x14ac:dyDescent="0.25">
      <c r="A112" s="18"/>
      <c r="B112" s="19"/>
      <c r="C112" s="20"/>
      <c r="D112" s="19"/>
      <c r="E112" s="21"/>
      <c r="F112" s="48"/>
      <c r="G112" s="21"/>
      <c r="H112" s="22"/>
      <c r="I112" s="23"/>
      <c r="J112" s="25"/>
      <c r="K112" s="1"/>
      <c r="Q112" s="1"/>
      <c r="R112" s="5"/>
    </row>
    <row r="113" spans="1:18" ht="15.75" x14ac:dyDescent="0.25">
      <c r="A113" s="18"/>
      <c r="B113" s="19"/>
      <c r="C113" s="20"/>
      <c r="D113" s="19"/>
      <c r="E113" s="21"/>
      <c r="F113" s="48"/>
      <c r="G113" s="21"/>
      <c r="H113" s="22"/>
      <c r="I113" s="23"/>
      <c r="J113" s="25"/>
      <c r="K113" s="1"/>
      <c r="Q113" s="1"/>
      <c r="R113" s="5"/>
    </row>
    <row r="114" spans="1:18" ht="15.75" x14ac:dyDescent="0.25">
      <c r="A114" s="18"/>
      <c r="B114" s="19"/>
      <c r="C114" s="26"/>
      <c r="D114" s="21"/>
      <c r="E114" s="21"/>
      <c r="F114" s="48"/>
      <c r="G114" s="14">
        <f>SUM(G109:G112)</f>
        <v>0</v>
      </c>
      <c r="H114" s="22"/>
      <c r="I114" s="23"/>
      <c r="J114" s="25"/>
      <c r="Q114" s="1"/>
      <c r="R114" s="5"/>
    </row>
    <row r="115" spans="1:18" ht="15.75" x14ac:dyDescent="0.25">
      <c r="A115" s="27"/>
      <c r="B115" s="28"/>
      <c r="C115" s="29"/>
      <c r="D115" s="29"/>
      <c r="E115" s="29"/>
      <c r="F115" s="29"/>
      <c r="G115" s="14"/>
      <c r="H115" s="30"/>
      <c r="I115" s="31"/>
      <c r="J115" s="25"/>
      <c r="Q115" s="1"/>
      <c r="R115" s="5"/>
    </row>
    <row r="116" spans="1:18" ht="15.75" x14ac:dyDescent="0.25">
      <c r="A116" s="27"/>
      <c r="B116" s="28"/>
      <c r="C116" s="29"/>
      <c r="D116" s="29"/>
      <c r="E116" s="29"/>
      <c r="F116" s="29"/>
      <c r="G116" s="30">
        <f>G115*8000</f>
        <v>0</v>
      </c>
      <c r="H116" s="30">
        <f>SUM(H109:H115)</f>
        <v>0</v>
      </c>
      <c r="I116" s="30">
        <f>SUM(I109:I114)</f>
        <v>0</v>
      </c>
      <c r="J116" s="25"/>
      <c r="Q116" s="1"/>
      <c r="R116" s="5"/>
    </row>
    <row r="117" spans="1:18" ht="15.75" x14ac:dyDescent="0.2">
      <c r="A117" s="32" t="s">
        <v>285</v>
      </c>
      <c r="B117" s="33"/>
      <c r="C117" s="33"/>
      <c r="D117" s="33"/>
      <c r="E117" s="33"/>
      <c r="F117" s="33"/>
      <c r="G117" s="39">
        <f>SUM(G116:I116)</f>
        <v>0</v>
      </c>
      <c r="H117" s="39"/>
      <c r="I117" s="39"/>
      <c r="J117" s="37"/>
      <c r="Q117" s="1"/>
      <c r="R117" s="5"/>
    </row>
    <row r="118" spans="1:18" ht="15.75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5"/>
      <c r="Q118" s="1"/>
      <c r="R118" s="5"/>
    </row>
    <row r="119" spans="1:18" ht="15.75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5"/>
      <c r="Q119" s="1"/>
      <c r="R119" s="5"/>
    </row>
    <row r="120" spans="1:18" ht="31.5" x14ac:dyDescent="0.2">
      <c r="A120" s="14" t="s">
        <v>279</v>
      </c>
      <c r="B120" s="14" t="s">
        <v>280</v>
      </c>
      <c r="C120" s="14" t="s">
        <v>281</v>
      </c>
      <c r="D120" s="14" t="s">
        <v>282</v>
      </c>
      <c r="E120" s="14" t="s">
        <v>283</v>
      </c>
      <c r="F120" s="46" t="s">
        <v>284</v>
      </c>
      <c r="G120" s="15" t="s">
        <v>285</v>
      </c>
      <c r="H120" s="16" t="s">
        <v>286</v>
      </c>
      <c r="I120" s="15" t="s">
        <v>287</v>
      </c>
      <c r="J120" s="47" t="s">
        <v>288</v>
      </c>
      <c r="K120" s="5"/>
      <c r="Q120" s="1"/>
      <c r="R120" s="5"/>
    </row>
    <row r="121" spans="1:18" ht="15.75" x14ac:dyDescent="0.25">
      <c r="A121" s="18" t="s">
        <v>305</v>
      </c>
      <c r="B121" s="19"/>
      <c r="C121" s="20"/>
      <c r="D121" s="19"/>
      <c r="E121" s="21"/>
      <c r="F121" s="48"/>
      <c r="G121" s="21">
        <f t="shared" ref="G121" si="10">E121-F121-D121</f>
        <v>0</v>
      </c>
      <c r="H121" s="22"/>
      <c r="I121" s="23"/>
      <c r="J121" s="24"/>
      <c r="K121" s="1"/>
      <c r="Q121" s="1"/>
      <c r="R121" s="5"/>
    </row>
    <row r="122" spans="1:18" ht="15.75" x14ac:dyDescent="0.25">
      <c r="A122" s="18"/>
      <c r="B122" s="19"/>
      <c r="C122" s="20"/>
      <c r="D122" s="19"/>
      <c r="E122" s="21"/>
      <c r="F122" s="48"/>
      <c r="G122" s="21"/>
      <c r="H122" s="22"/>
      <c r="I122" s="23"/>
      <c r="J122" s="25"/>
      <c r="K122" s="1"/>
      <c r="Q122" s="1"/>
      <c r="R122" s="5"/>
    </row>
    <row r="123" spans="1:18" ht="15.75" x14ac:dyDescent="0.25">
      <c r="A123" s="18"/>
      <c r="B123" s="19"/>
      <c r="C123" s="20"/>
      <c r="D123" s="19"/>
      <c r="E123" s="21"/>
      <c r="F123" s="48"/>
      <c r="G123" s="21"/>
      <c r="H123" s="22"/>
      <c r="I123" s="23"/>
      <c r="J123" s="25"/>
      <c r="K123" s="1"/>
      <c r="Q123" s="1"/>
      <c r="R123" s="5"/>
    </row>
    <row r="124" spans="1:18" ht="15.75" x14ac:dyDescent="0.25">
      <c r="A124" s="18"/>
      <c r="B124" s="19"/>
      <c r="C124" s="20"/>
      <c r="D124" s="19"/>
      <c r="E124" s="21"/>
      <c r="F124" s="48"/>
      <c r="G124" s="21"/>
      <c r="H124" s="22"/>
      <c r="I124" s="23"/>
      <c r="J124" s="25"/>
      <c r="K124" s="1"/>
      <c r="Q124" s="1"/>
      <c r="R124" s="5"/>
    </row>
    <row r="125" spans="1:18" ht="15.75" x14ac:dyDescent="0.25">
      <c r="A125" s="18"/>
      <c r="B125" s="19"/>
      <c r="C125" s="20"/>
      <c r="D125" s="19"/>
      <c r="E125" s="21"/>
      <c r="F125" s="48"/>
      <c r="G125" s="21"/>
      <c r="H125" s="22"/>
      <c r="I125" s="23"/>
      <c r="J125" s="25"/>
      <c r="K125" s="1"/>
      <c r="Q125" s="1"/>
      <c r="R125" s="5"/>
    </row>
    <row r="126" spans="1:18" ht="15.75" x14ac:dyDescent="0.25">
      <c r="A126" s="18"/>
      <c r="B126" s="19"/>
      <c r="C126" s="26"/>
      <c r="D126" s="21"/>
      <c r="E126" s="21"/>
      <c r="F126" s="48"/>
      <c r="G126" s="14">
        <f>SUM(G121:G124)</f>
        <v>0</v>
      </c>
      <c r="H126" s="22"/>
      <c r="I126" s="23"/>
      <c r="J126" s="25"/>
      <c r="Q126" s="1"/>
      <c r="R126" s="5"/>
    </row>
    <row r="127" spans="1:18" ht="15.75" x14ac:dyDescent="0.25">
      <c r="A127" s="27"/>
      <c r="B127" s="28"/>
      <c r="C127" s="29"/>
      <c r="D127" s="29"/>
      <c r="E127" s="29"/>
      <c r="F127" s="29"/>
      <c r="G127" s="14"/>
      <c r="H127" s="30"/>
      <c r="I127" s="31"/>
      <c r="J127" s="25"/>
      <c r="Q127" s="1"/>
      <c r="R127" s="5"/>
    </row>
    <row r="128" spans="1:18" ht="15.75" x14ac:dyDescent="0.25">
      <c r="A128" s="27"/>
      <c r="B128" s="28"/>
      <c r="C128" s="29"/>
      <c r="D128" s="29"/>
      <c r="E128" s="29"/>
      <c r="F128" s="29"/>
      <c r="G128" s="30">
        <f>G127*8000</f>
        <v>0</v>
      </c>
      <c r="H128" s="30">
        <f>SUM(H121:H127)</f>
        <v>0</v>
      </c>
      <c r="I128" s="30">
        <f>SUM(I121:I126)</f>
        <v>0</v>
      </c>
      <c r="J128" s="25"/>
      <c r="Q128" s="1"/>
      <c r="R128" s="5"/>
    </row>
    <row r="129" spans="1:32" ht="15.75" x14ac:dyDescent="0.2">
      <c r="A129" s="32" t="s">
        <v>285</v>
      </c>
      <c r="B129" s="33"/>
      <c r="C129" s="33"/>
      <c r="D129" s="33"/>
      <c r="E129" s="33"/>
      <c r="F129" s="33"/>
      <c r="G129" s="39">
        <f>SUM(G128:I128)</f>
        <v>0</v>
      </c>
      <c r="H129" s="39"/>
      <c r="I129" s="39"/>
      <c r="J129" s="37"/>
      <c r="Q129" s="1"/>
      <c r="R129" s="5"/>
    </row>
    <row r="130" spans="1:32" ht="15.75" x14ac:dyDescent="0.25">
      <c r="A130" s="49" t="s">
        <v>306</v>
      </c>
      <c r="B130" s="50"/>
      <c r="C130" s="50"/>
      <c r="D130" s="50"/>
      <c r="E130" s="50"/>
      <c r="F130" s="50"/>
      <c r="G130" s="51">
        <f>SUM(G15+G25+G39+G50+G72+G105)</f>
        <v>282500</v>
      </c>
      <c r="H130" s="51"/>
      <c r="I130" s="51"/>
      <c r="J130" s="52"/>
      <c r="Q130" s="1"/>
      <c r="R130" s="5"/>
    </row>
    <row r="131" spans="1:32" x14ac:dyDescent="0.2">
      <c r="A131" s="5"/>
      <c r="B131" s="5"/>
      <c r="C131" s="5"/>
      <c r="D131" s="5"/>
      <c r="E131" s="5"/>
      <c r="F131" s="5"/>
      <c r="G131" s="5"/>
      <c r="H131" s="53"/>
      <c r="I131" s="5"/>
      <c r="J131" s="5"/>
      <c r="Q131" s="1"/>
      <c r="R131" s="5"/>
    </row>
    <row r="132" spans="1:32" ht="15" x14ac:dyDescent="0.2">
      <c r="A132" s="5" t="s">
        <v>307</v>
      </c>
      <c r="B132" s="5"/>
      <c r="C132" s="5"/>
      <c r="D132" s="5"/>
      <c r="E132" s="5"/>
      <c r="F132" s="5"/>
      <c r="G132" s="5" t="s">
        <v>308</v>
      </c>
      <c r="H132" s="5"/>
      <c r="J132" s="5"/>
      <c r="K132" s="11"/>
      <c r="Q132" s="1"/>
      <c r="R132" s="5"/>
      <c r="V132" s="11"/>
      <c r="W132" s="11"/>
      <c r="X132" s="11"/>
      <c r="Y132" s="11"/>
      <c r="Z132" s="11"/>
      <c r="AA132" s="11"/>
      <c r="AB132" s="11"/>
      <c r="AC132" s="11"/>
      <c r="AE132" s="11"/>
      <c r="AF132" s="11"/>
    </row>
    <row r="133" spans="1:32" ht="15" x14ac:dyDescent="0.2">
      <c r="A133" s="5" t="s">
        <v>309</v>
      </c>
      <c r="B133" s="5"/>
      <c r="C133" s="5"/>
      <c r="D133" s="5"/>
      <c r="E133" s="5"/>
      <c r="F133" s="5"/>
      <c r="G133" s="5" t="s">
        <v>310</v>
      </c>
      <c r="H133" s="5"/>
      <c r="J133" s="5"/>
      <c r="K133" s="11"/>
      <c r="Q133" s="1"/>
      <c r="R133" s="5"/>
      <c r="V133" s="11"/>
      <c r="W133" s="11"/>
      <c r="X133" s="11"/>
      <c r="Y133" s="11"/>
      <c r="Z133" s="11"/>
      <c r="AA133" s="11"/>
      <c r="AB133" s="11"/>
      <c r="AC133" s="11"/>
      <c r="AE133" s="11"/>
      <c r="AF133" s="11"/>
    </row>
    <row r="134" spans="1:32" ht="15" x14ac:dyDescent="0.2">
      <c r="A134" s="5"/>
      <c r="B134" s="5"/>
      <c r="C134" s="5"/>
      <c r="D134" s="5"/>
      <c r="E134" s="5"/>
      <c r="F134" s="5"/>
      <c r="G134" s="5"/>
      <c r="H134" s="5"/>
      <c r="J134" s="5"/>
      <c r="K134" s="11"/>
      <c r="Q134" s="1"/>
      <c r="R134" s="5"/>
      <c r="V134" s="11"/>
      <c r="W134" s="11"/>
      <c r="X134" s="11"/>
      <c r="Y134" s="11"/>
      <c r="Z134" s="11"/>
      <c r="AA134" s="11"/>
      <c r="AB134" s="11"/>
      <c r="AC134" s="11"/>
      <c r="AE134" s="11"/>
      <c r="AF134" s="11"/>
    </row>
    <row r="135" spans="1:32" ht="15" x14ac:dyDescent="0.2">
      <c r="A135" s="5"/>
      <c r="B135" s="5"/>
      <c r="C135" s="5"/>
      <c r="D135" s="5"/>
      <c r="E135" s="5"/>
      <c r="F135" s="5"/>
      <c r="G135" s="5"/>
      <c r="H135" s="5"/>
      <c r="J135" s="5"/>
      <c r="K135" s="11"/>
      <c r="Q135" s="1"/>
      <c r="R135" s="5"/>
      <c r="V135" s="11"/>
      <c r="W135" s="11"/>
      <c r="X135" s="11"/>
      <c r="Y135" s="11"/>
      <c r="Z135" s="11"/>
      <c r="AA135" s="11"/>
      <c r="AB135" s="11"/>
      <c r="AC135" s="11"/>
      <c r="AE135" s="11"/>
      <c r="AF135" s="11"/>
    </row>
    <row r="136" spans="1:32" ht="15" x14ac:dyDescent="0.2">
      <c r="A136" s="5"/>
      <c r="B136" s="5"/>
      <c r="C136" s="5"/>
      <c r="D136" s="5"/>
      <c r="E136" s="5"/>
      <c r="F136" s="5"/>
      <c r="G136" s="5"/>
      <c r="H136" s="5"/>
      <c r="J136" s="5"/>
      <c r="K136" s="11"/>
      <c r="Q136" s="1"/>
      <c r="R136" s="5"/>
      <c r="V136" s="11"/>
      <c r="W136" s="11"/>
      <c r="X136" s="11"/>
      <c r="Y136" s="11"/>
      <c r="Z136" s="11"/>
      <c r="AA136" s="11"/>
      <c r="AB136" s="11"/>
      <c r="AC136" s="11"/>
      <c r="AE136" s="11"/>
      <c r="AF136" s="11"/>
    </row>
    <row r="137" spans="1:32" ht="15" x14ac:dyDescent="0.2">
      <c r="A137" s="5" t="s">
        <v>311</v>
      </c>
      <c r="B137" s="5"/>
      <c r="C137" s="5"/>
      <c r="D137" s="5"/>
      <c r="E137" s="5"/>
      <c r="F137" s="5"/>
      <c r="G137" s="5" t="s">
        <v>312</v>
      </c>
      <c r="H137" s="5"/>
      <c r="J137" s="5"/>
      <c r="K137" s="11"/>
      <c r="Q137" s="1"/>
      <c r="R137" s="5"/>
      <c r="V137" s="11"/>
      <c r="W137" s="11"/>
      <c r="X137" s="11"/>
      <c r="Y137" s="11"/>
      <c r="Z137" s="11"/>
      <c r="AA137" s="11"/>
      <c r="AB137" s="11"/>
      <c r="AC137" s="11"/>
      <c r="AE137" s="11"/>
      <c r="AF137" s="11"/>
    </row>
    <row r="138" spans="1:32" ht="15" x14ac:dyDescent="0.2">
      <c r="A138" s="5"/>
      <c r="B138" s="5"/>
      <c r="C138" s="5"/>
      <c r="D138" s="5"/>
      <c r="E138" s="5"/>
      <c r="F138" s="5"/>
      <c r="G138" s="5"/>
      <c r="H138" s="53"/>
      <c r="I138" s="5"/>
      <c r="J138" s="5"/>
      <c r="K138" s="11"/>
      <c r="Q138" s="1"/>
      <c r="R138" s="5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x14ac:dyDescent="0.2">
      <c r="A139" s="5"/>
      <c r="B139" s="5"/>
      <c r="C139" s="5"/>
      <c r="D139" s="5"/>
      <c r="E139" s="5"/>
      <c r="F139" s="5"/>
      <c r="G139" s="5"/>
      <c r="H139" s="53"/>
      <c r="I139" s="5"/>
      <c r="J139" s="5"/>
      <c r="Q139" s="1"/>
      <c r="R139" s="5"/>
    </row>
    <row r="140" spans="1:32" x14ac:dyDescent="0.2">
      <c r="A140" s="5"/>
      <c r="B140" s="5"/>
      <c r="C140" s="5"/>
      <c r="D140" s="5"/>
      <c r="E140" s="5"/>
      <c r="F140" s="5"/>
      <c r="G140" s="5"/>
      <c r="H140" s="53"/>
      <c r="I140" s="5"/>
      <c r="J140" s="5"/>
      <c r="Q140" s="1"/>
      <c r="R140" s="5"/>
    </row>
    <row r="141" spans="1:32" x14ac:dyDescent="0.2">
      <c r="A141" s="5"/>
      <c r="B141" s="5"/>
      <c r="C141" s="5"/>
      <c r="D141" s="5"/>
      <c r="E141" s="5"/>
      <c r="F141" s="5"/>
      <c r="G141" s="5"/>
      <c r="H141" s="53"/>
      <c r="I141" s="5"/>
      <c r="J141" s="5"/>
      <c r="Q141" s="1"/>
      <c r="R141" s="5"/>
    </row>
    <row r="142" spans="1:32" x14ac:dyDescent="0.2">
      <c r="Q142" s="1"/>
      <c r="R142" s="5"/>
    </row>
    <row r="143" spans="1:32" x14ac:dyDescent="0.2">
      <c r="Q143" s="1"/>
      <c r="R143" s="5"/>
    </row>
    <row r="144" spans="1:32" x14ac:dyDescent="0.2">
      <c r="Q144" s="1"/>
      <c r="R144" s="5"/>
    </row>
    <row r="145" spans="17:18" x14ac:dyDescent="0.2">
      <c r="Q145" s="1"/>
      <c r="R145" s="5"/>
    </row>
    <row r="146" spans="17:18" x14ac:dyDescent="0.2">
      <c r="Q146" s="1"/>
      <c r="R146" s="5"/>
    </row>
    <row r="147" spans="17:18" x14ac:dyDescent="0.2">
      <c r="Q147" s="1"/>
      <c r="R147" s="5"/>
    </row>
    <row r="148" spans="17:18" x14ac:dyDescent="0.2">
      <c r="Q148" s="1"/>
      <c r="R148" s="5"/>
    </row>
    <row r="149" spans="17:18" x14ac:dyDescent="0.2">
      <c r="Q149" s="1"/>
      <c r="R149" s="5"/>
    </row>
    <row r="150" spans="17:18" x14ac:dyDescent="0.2">
      <c r="Q150" s="1"/>
      <c r="R150" s="5"/>
    </row>
    <row r="151" spans="17:18" x14ac:dyDescent="0.2">
      <c r="Q151" s="1"/>
      <c r="R151" s="5"/>
    </row>
    <row r="152" spans="17:18" x14ac:dyDescent="0.2">
      <c r="Q152" s="1"/>
      <c r="R152" s="5"/>
    </row>
    <row r="153" spans="17:18" x14ac:dyDescent="0.2">
      <c r="Q153" s="1"/>
      <c r="R153" s="5"/>
    </row>
    <row r="154" spans="17:18" x14ac:dyDescent="0.2">
      <c r="Q154" s="1"/>
      <c r="R154" s="5"/>
    </row>
    <row r="155" spans="17:18" x14ac:dyDescent="0.2">
      <c r="Q155" s="1"/>
      <c r="R155" s="5"/>
    </row>
    <row r="156" spans="17:18" x14ac:dyDescent="0.2">
      <c r="Q156" s="1"/>
      <c r="R156" s="5"/>
    </row>
    <row r="157" spans="17:18" x14ac:dyDescent="0.2">
      <c r="Q157" s="1"/>
      <c r="R157" s="5"/>
    </row>
    <row r="158" spans="17:18" x14ac:dyDescent="0.2">
      <c r="Q158" s="1"/>
      <c r="R158" s="5"/>
    </row>
    <row r="159" spans="17:18" x14ac:dyDescent="0.2">
      <c r="Q159" s="1"/>
      <c r="R159" s="5"/>
    </row>
    <row r="160" spans="17:18" x14ac:dyDescent="0.2">
      <c r="Q160" s="1"/>
      <c r="R160" s="5"/>
    </row>
    <row r="161" spans="17:18" x14ac:dyDescent="0.2">
      <c r="Q161" s="1"/>
      <c r="R161" s="5"/>
    </row>
    <row r="162" spans="17:18" x14ac:dyDescent="0.2">
      <c r="Q162" s="1"/>
      <c r="R162" s="5"/>
    </row>
    <row r="163" spans="17:18" x14ac:dyDescent="0.2">
      <c r="Q163" s="1"/>
      <c r="R163" s="5"/>
    </row>
    <row r="164" spans="17:18" x14ac:dyDescent="0.2">
      <c r="Q164" s="1"/>
      <c r="R164" s="5"/>
    </row>
    <row r="165" spans="17:18" x14ac:dyDescent="0.2">
      <c r="Q165" s="1"/>
      <c r="R165" s="5"/>
    </row>
    <row r="166" spans="17:18" x14ac:dyDescent="0.2">
      <c r="Q166" s="1"/>
      <c r="R166" s="5"/>
    </row>
    <row r="167" spans="17:18" x14ac:dyDescent="0.2">
      <c r="Q167" s="1"/>
      <c r="R167" s="5"/>
    </row>
    <row r="168" spans="17:18" x14ac:dyDescent="0.2">
      <c r="Q168" s="1"/>
      <c r="R168" s="5"/>
    </row>
    <row r="169" spans="17:18" x14ac:dyDescent="0.2">
      <c r="Q169" s="1"/>
      <c r="R169" s="5"/>
    </row>
    <row r="170" spans="17:18" x14ac:dyDescent="0.2">
      <c r="Q170" s="1"/>
      <c r="R170" s="5"/>
    </row>
    <row r="171" spans="17:18" x14ac:dyDescent="0.2">
      <c r="Q171" s="1"/>
      <c r="R171" s="5"/>
    </row>
    <row r="172" spans="17:18" x14ac:dyDescent="0.2">
      <c r="Q172" s="1"/>
      <c r="R172" s="5"/>
    </row>
    <row r="173" spans="17:18" x14ac:dyDescent="0.2">
      <c r="Q173" s="1"/>
      <c r="R173" s="5"/>
    </row>
    <row r="174" spans="17:18" x14ac:dyDescent="0.2">
      <c r="Q174" s="1"/>
      <c r="R174" s="5"/>
    </row>
    <row r="175" spans="17:18" x14ac:dyDescent="0.2">
      <c r="Q175" s="1"/>
      <c r="R175" s="5"/>
    </row>
    <row r="176" spans="17:18" x14ac:dyDescent="0.2">
      <c r="Q176" s="1"/>
      <c r="R176" s="5"/>
    </row>
    <row r="177" spans="17:18" x14ac:dyDescent="0.2">
      <c r="Q177" s="1"/>
      <c r="R177" s="5"/>
    </row>
    <row r="178" spans="17:18" x14ac:dyDescent="0.2">
      <c r="Q178" s="1"/>
      <c r="R178" s="5"/>
    </row>
    <row r="179" spans="17:18" x14ac:dyDescent="0.2">
      <c r="Q179" s="1"/>
      <c r="R179" s="5"/>
    </row>
    <row r="180" spans="17:18" x14ac:dyDescent="0.2">
      <c r="Q180" s="1"/>
      <c r="R180" s="5"/>
    </row>
    <row r="181" spans="17:18" x14ac:dyDescent="0.2">
      <c r="Q181" s="1"/>
      <c r="R181" s="5"/>
    </row>
    <row r="182" spans="17:18" x14ac:dyDescent="0.2">
      <c r="Q182" s="1"/>
      <c r="R182" s="5"/>
    </row>
    <row r="183" spans="17:18" x14ac:dyDescent="0.2">
      <c r="Q183" s="1"/>
      <c r="R183" s="5"/>
    </row>
    <row r="184" spans="17:18" x14ac:dyDescent="0.2">
      <c r="Q184" s="1"/>
      <c r="R184" s="5"/>
    </row>
    <row r="185" spans="17:18" x14ac:dyDescent="0.2">
      <c r="Q185" s="1"/>
      <c r="R185" s="5"/>
    </row>
    <row r="186" spans="17:18" x14ac:dyDescent="0.2">
      <c r="Q186" s="1"/>
      <c r="R186" s="5"/>
    </row>
    <row r="187" spans="17:18" x14ac:dyDescent="0.2">
      <c r="Q187" s="1"/>
      <c r="R187" s="5"/>
    </row>
    <row r="188" spans="17:18" x14ac:dyDescent="0.2">
      <c r="Q188" s="1"/>
      <c r="R188" s="5"/>
    </row>
    <row r="189" spans="17:18" x14ac:dyDescent="0.2">
      <c r="Q189" s="1"/>
      <c r="R189" s="5"/>
    </row>
    <row r="190" spans="17:18" x14ac:dyDescent="0.2">
      <c r="Q190" s="1"/>
      <c r="R190" s="5"/>
    </row>
    <row r="191" spans="17:18" x14ac:dyDescent="0.2">
      <c r="Q191" s="1"/>
      <c r="R191" s="5"/>
    </row>
    <row r="192" spans="17:18" x14ac:dyDescent="0.2">
      <c r="Q192" s="1"/>
      <c r="R192" s="5"/>
    </row>
    <row r="193" spans="17:18" x14ac:dyDescent="0.2">
      <c r="Q193" s="1"/>
      <c r="R193" s="5"/>
    </row>
    <row r="194" spans="17:18" x14ac:dyDescent="0.2">
      <c r="Q194" s="1"/>
      <c r="R194" s="5"/>
    </row>
    <row r="195" spans="17:18" x14ac:dyDescent="0.2">
      <c r="Q195" s="1"/>
      <c r="R195" s="5"/>
    </row>
    <row r="196" spans="17:18" x14ac:dyDescent="0.2">
      <c r="Q196" s="1"/>
      <c r="R196" s="5"/>
    </row>
    <row r="197" spans="17:18" x14ac:dyDescent="0.2">
      <c r="Q197" s="1"/>
      <c r="R197" s="5"/>
    </row>
    <row r="198" spans="17:18" x14ac:dyDescent="0.2">
      <c r="Q198" s="1"/>
      <c r="R198" s="5"/>
    </row>
    <row r="199" spans="17:18" x14ac:dyDescent="0.2">
      <c r="Q199" s="1"/>
      <c r="R199" s="5"/>
    </row>
    <row r="200" spans="17:18" x14ac:dyDescent="0.2">
      <c r="Q200" s="1"/>
      <c r="R200" s="5"/>
    </row>
    <row r="201" spans="17:18" x14ac:dyDescent="0.2">
      <c r="Q201" s="1"/>
      <c r="R201" s="5"/>
    </row>
    <row r="202" spans="17:18" x14ac:dyDescent="0.2">
      <c r="Q202" s="1"/>
      <c r="R202" s="5"/>
    </row>
    <row r="203" spans="17:18" x14ac:dyDescent="0.2">
      <c r="Q203" s="1"/>
      <c r="R203" s="5"/>
    </row>
    <row r="204" spans="17:18" x14ac:dyDescent="0.2">
      <c r="Q204" s="1"/>
      <c r="R204" s="5"/>
    </row>
    <row r="205" spans="17:18" x14ac:dyDescent="0.2">
      <c r="Q205" s="1"/>
      <c r="R205" s="5"/>
    </row>
    <row r="206" spans="17:18" x14ac:dyDescent="0.2">
      <c r="Q206" s="1"/>
      <c r="R206" s="5"/>
    </row>
    <row r="207" spans="17:18" x14ac:dyDescent="0.2">
      <c r="Q207" s="1"/>
      <c r="R207" s="5"/>
    </row>
    <row r="208" spans="17:18" x14ac:dyDescent="0.2">
      <c r="Q208" s="1"/>
      <c r="R208" s="5"/>
    </row>
    <row r="209" spans="17:18" x14ac:dyDescent="0.2">
      <c r="Q209" s="1"/>
      <c r="R209" s="5"/>
    </row>
    <row r="210" spans="17:18" x14ac:dyDescent="0.2">
      <c r="Q210" s="1"/>
      <c r="R210" s="5"/>
    </row>
    <row r="211" spans="17:18" x14ac:dyDescent="0.2">
      <c r="Q211" s="1"/>
      <c r="R211" s="5"/>
    </row>
    <row r="212" spans="17:18" x14ac:dyDescent="0.2">
      <c r="Q212" s="1"/>
      <c r="R212" s="5"/>
    </row>
    <row r="213" spans="17:18" x14ac:dyDescent="0.2">
      <c r="Q213" s="1"/>
      <c r="R213" s="5"/>
    </row>
    <row r="214" spans="17:18" x14ac:dyDescent="0.2">
      <c r="Q214" s="1"/>
      <c r="R214" s="5"/>
    </row>
    <row r="215" spans="17:18" x14ac:dyDescent="0.2">
      <c r="Q215" s="1"/>
      <c r="R215" s="5"/>
    </row>
    <row r="216" spans="17:18" x14ac:dyDescent="0.2">
      <c r="Q216" s="1"/>
      <c r="R216" s="5"/>
    </row>
    <row r="217" spans="17:18" x14ac:dyDescent="0.2">
      <c r="Q217" s="1"/>
      <c r="R217" s="5"/>
    </row>
    <row r="218" spans="17:18" x14ac:dyDescent="0.2">
      <c r="Q218" s="1"/>
      <c r="R218" s="5"/>
    </row>
    <row r="219" spans="17:18" x14ac:dyDescent="0.2">
      <c r="Q219" s="1"/>
      <c r="R219" s="5"/>
    </row>
    <row r="220" spans="17:18" x14ac:dyDescent="0.2">
      <c r="Q220" s="1"/>
      <c r="R220" s="5"/>
    </row>
    <row r="221" spans="17:18" x14ac:dyDescent="0.2">
      <c r="Q221" s="1"/>
      <c r="R221" s="5"/>
    </row>
    <row r="222" spans="17:18" x14ac:dyDescent="0.2">
      <c r="Q222" s="1"/>
      <c r="R222" s="5"/>
    </row>
    <row r="223" spans="17:18" x14ac:dyDescent="0.2">
      <c r="Q223" s="1"/>
      <c r="R223" s="5"/>
    </row>
    <row r="224" spans="17:18" x14ac:dyDescent="0.2">
      <c r="Q224" s="1"/>
      <c r="R224" s="5"/>
    </row>
    <row r="225" spans="17:18" x14ac:dyDescent="0.2">
      <c r="Q225" s="1"/>
      <c r="R225" s="5"/>
    </row>
    <row r="226" spans="17:18" x14ac:dyDescent="0.2">
      <c r="Q226" s="1"/>
      <c r="R226" s="5"/>
    </row>
    <row r="227" spans="17:18" x14ac:dyDescent="0.2">
      <c r="Q227" s="1"/>
      <c r="R227" s="5"/>
    </row>
    <row r="228" spans="17:18" x14ac:dyDescent="0.2">
      <c r="Q228" s="1"/>
      <c r="R228" s="5"/>
    </row>
    <row r="229" spans="17:18" x14ac:dyDescent="0.2">
      <c r="Q229" s="1"/>
      <c r="R229" s="5"/>
    </row>
    <row r="230" spans="17:18" x14ac:dyDescent="0.2">
      <c r="Q230" s="1"/>
      <c r="R230" s="5"/>
    </row>
    <row r="231" spans="17:18" x14ac:dyDescent="0.2">
      <c r="Q231" s="1"/>
      <c r="R231" s="5"/>
    </row>
    <row r="232" spans="17:18" x14ac:dyDescent="0.2">
      <c r="Q232" s="1"/>
      <c r="R232" s="5"/>
    </row>
    <row r="233" spans="17:18" x14ac:dyDescent="0.2">
      <c r="Q233" s="1"/>
      <c r="R233" s="5"/>
    </row>
    <row r="234" spans="17:18" x14ac:dyDescent="0.2">
      <c r="Q234" s="1"/>
      <c r="R234" s="5"/>
    </row>
    <row r="235" spans="17:18" x14ac:dyDescent="0.2">
      <c r="Q235" s="1"/>
      <c r="R235" s="5"/>
    </row>
    <row r="236" spans="17:18" x14ac:dyDescent="0.2">
      <c r="Q236" s="1"/>
      <c r="R236" s="5"/>
    </row>
    <row r="237" spans="17:18" x14ac:dyDescent="0.2">
      <c r="Q237" s="1"/>
      <c r="R237" s="5"/>
    </row>
    <row r="238" spans="17:18" x14ac:dyDescent="0.2">
      <c r="Q238" s="1"/>
      <c r="R238" s="5"/>
    </row>
    <row r="239" spans="17:18" x14ac:dyDescent="0.2">
      <c r="Q239" s="1"/>
      <c r="R239" s="5"/>
    </row>
    <row r="240" spans="17:18" x14ac:dyDescent="0.2">
      <c r="Q240" s="1"/>
      <c r="R240" s="5"/>
    </row>
    <row r="241" spans="17:18" x14ac:dyDescent="0.2">
      <c r="Q241" s="1"/>
      <c r="R241" s="5"/>
    </row>
    <row r="242" spans="17:18" x14ac:dyDescent="0.2">
      <c r="Q242" s="1"/>
      <c r="R242" s="5"/>
    </row>
    <row r="243" spans="17:18" x14ac:dyDescent="0.2">
      <c r="Q243" s="1"/>
      <c r="R243" s="5"/>
    </row>
    <row r="244" spans="17:18" x14ac:dyDescent="0.2">
      <c r="Q244" s="1"/>
      <c r="R244" s="5"/>
    </row>
    <row r="245" spans="17:18" x14ac:dyDescent="0.2">
      <c r="Q245" s="1"/>
      <c r="R245" s="5"/>
    </row>
    <row r="246" spans="17:18" x14ac:dyDescent="0.2">
      <c r="Q246" s="1"/>
      <c r="R246" s="5"/>
    </row>
    <row r="247" spans="17:18" x14ac:dyDescent="0.2">
      <c r="Q247" s="1"/>
      <c r="R247" s="5"/>
    </row>
    <row r="248" spans="17:18" x14ac:dyDescent="0.2">
      <c r="Q248" s="1"/>
      <c r="R248" s="5"/>
    </row>
    <row r="249" spans="17:18" x14ac:dyDescent="0.2">
      <c r="Q249" s="1"/>
      <c r="R249" s="5"/>
    </row>
    <row r="250" spans="17:18" x14ac:dyDescent="0.2">
      <c r="Q250" s="1"/>
      <c r="R250" s="5"/>
    </row>
    <row r="251" spans="17:18" x14ac:dyDescent="0.2">
      <c r="Q251" s="1"/>
      <c r="R251" s="5"/>
    </row>
    <row r="252" spans="17:18" x14ac:dyDescent="0.2">
      <c r="Q252" s="1"/>
      <c r="R252" s="5"/>
    </row>
    <row r="253" spans="17:18" x14ac:dyDescent="0.2">
      <c r="Q253" s="1"/>
      <c r="R253" s="5"/>
    </row>
    <row r="254" spans="17:18" x14ac:dyDescent="0.2">
      <c r="Q254" s="1"/>
      <c r="R254" s="5"/>
    </row>
    <row r="255" spans="17:18" x14ac:dyDescent="0.2">
      <c r="Q255" s="1"/>
      <c r="R255" s="5"/>
    </row>
    <row r="256" spans="17:18" x14ac:dyDescent="0.2">
      <c r="Q256" s="1"/>
      <c r="R256" s="5"/>
    </row>
    <row r="257" spans="17:18" x14ac:dyDescent="0.2">
      <c r="Q257" s="1"/>
      <c r="R257" s="5"/>
    </row>
    <row r="258" spans="17:18" x14ac:dyDescent="0.2">
      <c r="Q258" s="1"/>
      <c r="R258" s="5"/>
    </row>
    <row r="259" spans="17:18" x14ac:dyDescent="0.2">
      <c r="Q259" s="1"/>
      <c r="R259" s="5"/>
    </row>
    <row r="260" spans="17:18" x14ac:dyDescent="0.2">
      <c r="Q260" s="1"/>
      <c r="R260" s="5"/>
    </row>
    <row r="261" spans="17:18" x14ac:dyDescent="0.2">
      <c r="Q261" s="1"/>
      <c r="R261" s="5"/>
    </row>
    <row r="262" spans="17:18" x14ac:dyDescent="0.2">
      <c r="Q262" s="1"/>
      <c r="R262" s="5"/>
    </row>
    <row r="263" spans="17:18" x14ac:dyDescent="0.2">
      <c r="Q263" s="1"/>
      <c r="R263" s="5"/>
    </row>
    <row r="264" spans="17:18" x14ac:dyDescent="0.2">
      <c r="Q264" s="1"/>
      <c r="R264" s="5"/>
    </row>
    <row r="265" spans="17:18" x14ac:dyDescent="0.2">
      <c r="Q265" s="1"/>
      <c r="R265" s="5"/>
    </row>
    <row r="266" spans="17:18" x14ac:dyDescent="0.2">
      <c r="Q266" s="1"/>
      <c r="R266" s="5"/>
    </row>
    <row r="267" spans="17:18" x14ac:dyDescent="0.2">
      <c r="Q267" s="1"/>
      <c r="R267" s="5"/>
    </row>
    <row r="268" spans="17:18" x14ac:dyDescent="0.2">
      <c r="Q268" s="1"/>
      <c r="R268" s="5"/>
    </row>
    <row r="269" spans="17:18" x14ac:dyDescent="0.2">
      <c r="Q269" s="1"/>
      <c r="R269" s="5"/>
    </row>
    <row r="270" spans="17:18" x14ac:dyDescent="0.2">
      <c r="Q270" s="1"/>
      <c r="R270" s="5"/>
    </row>
    <row r="271" spans="17:18" x14ac:dyDescent="0.2">
      <c r="Q271" s="1"/>
      <c r="R271" s="5"/>
    </row>
    <row r="272" spans="17:18" x14ac:dyDescent="0.2">
      <c r="Q272" s="1"/>
      <c r="R272" s="5"/>
    </row>
    <row r="273" spans="17:18" x14ac:dyDescent="0.2">
      <c r="Q273" s="1"/>
      <c r="R273" s="5"/>
    </row>
    <row r="274" spans="17:18" x14ac:dyDescent="0.2">
      <c r="Q274" s="1"/>
      <c r="R274" s="5"/>
    </row>
    <row r="275" spans="17:18" x14ac:dyDescent="0.2">
      <c r="Q275" s="1"/>
      <c r="R275" s="5"/>
    </row>
    <row r="276" spans="17:18" x14ac:dyDescent="0.2">
      <c r="Q276" s="1"/>
      <c r="R276" s="5"/>
    </row>
    <row r="277" spans="17:18" x14ac:dyDescent="0.2">
      <c r="Q277" s="1"/>
      <c r="R277" s="5"/>
    </row>
    <row r="278" spans="17:18" x14ac:dyDescent="0.2">
      <c r="Q278" s="1"/>
      <c r="R278" s="5"/>
    </row>
    <row r="279" spans="17:18" x14ac:dyDescent="0.2">
      <c r="Q279" s="1"/>
      <c r="R279" s="5"/>
    </row>
    <row r="280" spans="17:18" x14ac:dyDescent="0.2">
      <c r="Q280" s="1"/>
      <c r="R280" s="5"/>
    </row>
    <row r="281" spans="17:18" x14ac:dyDescent="0.2">
      <c r="Q281" s="1"/>
      <c r="R281" s="5"/>
    </row>
    <row r="282" spans="17:18" x14ac:dyDescent="0.2">
      <c r="Q282" s="1"/>
      <c r="R282" s="5"/>
    </row>
    <row r="283" spans="17:18" x14ac:dyDescent="0.2">
      <c r="Q283" s="1"/>
      <c r="R283" s="5"/>
    </row>
    <row r="284" spans="17:18" x14ac:dyDescent="0.2">
      <c r="Q284" s="1"/>
      <c r="R284" s="5"/>
    </row>
    <row r="285" spans="17:18" x14ac:dyDescent="0.2">
      <c r="Q285" s="1"/>
      <c r="R285" s="5"/>
    </row>
    <row r="286" spans="17:18" x14ac:dyDescent="0.2">
      <c r="Q286" s="1"/>
      <c r="R286" s="5"/>
    </row>
    <row r="287" spans="17:18" x14ac:dyDescent="0.2">
      <c r="Q287" s="1"/>
      <c r="R287" s="5"/>
    </row>
    <row r="288" spans="17:18" x14ac:dyDescent="0.2">
      <c r="Q288" s="1"/>
      <c r="R288" s="5"/>
    </row>
    <row r="289" spans="17:18" x14ac:dyDescent="0.2">
      <c r="Q289" s="1"/>
      <c r="R289" s="5"/>
    </row>
    <row r="290" spans="17:18" x14ac:dyDescent="0.2">
      <c r="Q290" s="1"/>
      <c r="R290" s="5"/>
    </row>
    <row r="291" spans="17:18" x14ac:dyDescent="0.2">
      <c r="Q291" s="1"/>
      <c r="R291" s="5"/>
    </row>
    <row r="292" spans="17:18" x14ac:dyDescent="0.2">
      <c r="Q292" s="1"/>
      <c r="R292" s="5"/>
    </row>
    <row r="293" spans="17:18" x14ac:dyDescent="0.2">
      <c r="Q293" s="1"/>
      <c r="R293" s="5"/>
    </row>
    <row r="294" spans="17:18" x14ac:dyDescent="0.2">
      <c r="Q294" s="1"/>
      <c r="R294" s="5"/>
    </row>
    <row r="295" spans="17:18" x14ac:dyDescent="0.2">
      <c r="Q295" s="1"/>
      <c r="R295" s="5"/>
    </row>
    <row r="296" spans="17:18" x14ac:dyDescent="0.2">
      <c r="Q296" s="1"/>
      <c r="R296" s="5"/>
    </row>
    <row r="297" spans="17:18" x14ac:dyDescent="0.2">
      <c r="Q297" s="1"/>
      <c r="R297" s="5"/>
    </row>
    <row r="298" spans="17:18" x14ac:dyDescent="0.2">
      <c r="Q298" s="1"/>
      <c r="R298" s="5"/>
    </row>
    <row r="299" spans="17:18" x14ac:dyDescent="0.2">
      <c r="Q299" s="1"/>
      <c r="R299" s="5"/>
    </row>
    <row r="300" spans="17:18" x14ac:dyDescent="0.2">
      <c r="Q300" s="1"/>
      <c r="R300" s="5"/>
    </row>
    <row r="301" spans="17:18" x14ac:dyDescent="0.2">
      <c r="Q301" s="1"/>
      <c r="R301" s="5"/>
    </row>
    <row r="302" spans="17:18" x14ac:dyDescent="0.2">
      <c r="Q302" s="1"/>
      <c r="R302" s="5"/>
    </row>
    <row r="303" spans="17:18" x14ac:dyDescent="0.2">
      <c r="Q303" s="1"/>
      <c r="R303" s="5"/>
    </row>
    <row r="304" spans="17:18" x14ac:dyDescent="0.2">
      <c r="Q304" s="1"/>
      <c r="R304" s="5"/>
    </row>
    <row r="305" spans="17:18" x14ac:dyDescent="0.2">
      <c r="Q305" s="1"/>
      <c r="R305" s="5"/>
    </row>
    <row r="306" spans="17:18" x14ac:dyDescent="0.2">
      <c r="Q306" s="1"/>
      <c r="R306" s="5"/>
    </row>
    <row r="307" spans="17:18" x14ac:dyDescent="0.2">
      <c r="Q307" s="1"/>
      <c r="R307" s="5"/>
    </row>
    <row r="308" spans="17:18" x14ac:dyDescent="0.2">
      <c r="Q308" s="1"/>
      <c r="R308" s="5"/>
    </row>
    <row r="309" spans="17:18" x14ac:dyDescent="0.2">
      <c r="Q309" s="1"/>
      <c r="R309" s="5"/>
    </row>
    <row r="310" spans="17:18" x14ac:dyDescent="0.2">
      <c r="Q310" s="1"/>
      <c r="R310" s="5"/>
    </row>
    <row r="311" spans="17:18" x14ac:dyDescent="0.2">
      <c r="Q311" s="1"/>
      <c r="R311" s="5"/>
    </row>
    <row r="312" spans="17:18" x14ac:dyDescent="0.2">
      <c r="Q312" s="1"/>
      <c r="R312" s="5"/>
    </row>
    <row r="313" spans="17:18" x14ac:dyDescent="0.2">
      <c r="Q313" s="1"/>
      <c r="R313" s="5"/>
    </row>
    <row r="314" spans="17:18" x14ac:dyDescent="0.2">
      <c r="Q314" s="1"/>
      <c r="R314" s="5"/>
    </row>
    <row r="315" spans="17:18" x14ac:dyDescent="0.2">
      <c r="Q315" s="1"/>
      <c r="R315" s="5"/>
    </row>
    <row r="316" spans="17:18" x14ac:dyDescent="0.2">
      <c r="Q316" s="1"/>
      <c r="R316" s="5"/>
    </row>
    <row r="317" spans="17:18" x14ac:dyDescent="0.2">
      <c r="Q317" s="1"/>
      <c r="R317" s="5"/>
    </row>
    <row r="318" spans="17:18" x14ac:dyDescent="0.2">
      <c r="Q318" s="1"/>
      <c r="R318" s="5"/>
    </row>
    <row r="319" spans="17:18" x14ac:dyDescent="0.2">
      <c r="Q319" s="1"/>
      <c r="R319" s="5"/>
    </row>
    <row r="320" spans="17:18" x14ac:dyDescent="0.2">
      <c r="Q320" s="1"/>
      <c r="R320" s="5"/>
    </row>
    <row r="321" spans="17:18" x14ac:dyDescent="0.2">
      <c r="Q321" s="1"/>
      <c r="R321" s="5"/>
    </row>
    <row r="322" spans="17:18" x14ac:dyDescent="0.2">
      <c r="Q322" s="1"/>
      <c r="R322" s="5"/>
    </row>
    <row r="323" spans="17:18" x14ac:dyDescent="0.2">
      <c r="Q323" s="1"/>
      <c r="R323" s="5"/>
    </row>
    <row r="324" spans="17:18" x14ac:dyDescent="0.2">
      <c r="Q324" s="1"/>
      <c r="R324" s="5"/>
    </row>
    <row r="325" spans="17:18" x14ac:dyDescent="0.2">
      <c r="Q325" s="1"/>
      <c r="R325" s="5"/>
    </row>
    <row r="326" spans="17:18" x14ac:dyDescent="0.2">
      <c r="Q326" s="1"/>
      <c r="R326" s="5"/>
    </row>
    <row r="327" spans="17:18" x14ac:dyDescent="0.2">
      <c r="Q327" s="1"/>
      <c r="R327" s="5"/>
    </row>
    <row r="328" spans="17:18" x14ac:dyDescent="0.2">
      <c r="Q328" s="1"/>
      <c r="R328" s="5"/>
    </row>
    <row r="329" spans="17:18" x14ac:dyDescent="0.2">
      <c r="Q329" s="1"/>
      <c r="R329" s="5"/>
    </row>
    <row r="330" spans="17:18" x14ac:dyDescent="0.2">
      <c r="Q330" s="1"/>
      <c r="R330" s="5"/>
    </row>
    <row r="331" spans="17:18" x14ac:dyDescent="0.2">
      <c r="Q331" s="1"/>
      <c r="R331" s="5"/>
    </row>
    <row r="332" spans="17:18" x14ac:dyDescent="0.2">
      <c r="Q332" s="1"/>
      <c r="R332" s="5"/>
    </row>
    <row r="333" spans="17:18" x14ac:dyDescent="0.2">
      <c r="Q333" s="1"/>
      <c r="R333" s="5"/>
    </row>
    <row r="334" spans="17:18" x14ac:dyDescent="0.2">
      <c r="Q334" s="1"/>
      <c r="R334" s="5"/>
    </row>
    <row r="335" spans="17:18" x14ac:dyDescent="0.2">
      <c r="Q335" s="1"/>
      <c r="R335" s="5"/>
    </row>
    <row r="336" spans="17:18" x14ac:dyDescent="0.2">
      <c r="Q336" s="1"/>
      <c r="R336" s="5"/>
    </row>
    <row r="337" spans="17:18" x14ac:dyDescent="0.2">
      <c r="Q337" s="1"/>
      <c r="R337" s="5"/>
    </row>
    <row r="338" spans="17:18" x14ac:dyDescent="0.2">
      <c r="Q338" s="1"/>
      <c r="R338" s="5"/>
    </row>
    <row r="339" spans="17:18" x14ac:dyDescent="0.2">
      <c r="Q339" s="1"/>
      <c r="R339" s="5"/>
    </row>
    <row r="340" spans="17:18" x14ac:dyDescent="0.2">
      <c r="Q340" s="1"/>
      <c r="R340" s="5"/>
    </row>
    <row r="341" spans="17:18" x14ac:dyDescent="0.2">
      <c r="Q341" s="1"/>
      <c r="R341" s="5"/>
    </row>
    <row r="342" spans="17:18" x14ac:dyDescent="0.2">
      <c r="Q342" s="1"/>
      <c r="R342" s="5"/>
    </row>
    <row r="343" spans="17:18" x14ac:dyDescent="0.2">
      <c r="Q343" s="1"/>
      <c r="R343" s="5"/>
    </row>
    <row r="344" spans="17:18" x14ac:dyDescent="0.2">
      <c r="Q344" s="1"/>
      <c r="R344" s="5"/>
    </row>
    <row r="345" spans="17:18" x14ac:dyDescent="0.2">
      <c r="Q345" s="1"/>
      <c r="R345" s="5"/>
    </row>
    <row r="346" spans="17:18" x14ac:dyDescent="0.2">
      <c r="Q346" s="1"/>
      <c r="R346" s="5"/>
    </row>
    <row r="347" spans="17:18" x14ac:dyDescent="0.2">
      <c r="Q347" s="1"/>
      <c r="R347" s="5"/>
    </row>
    <row r="348" spans="17:18" x14ac:dyDescent="0.2">
      <c r="Q348" s="1"/>
      <c r="R348" s="5"/>
    </row>
    <row r="349" spans="17:18" x14ac:dyDescent="0.2">
      <c r="Q349" s="1"/>
      <c r="R349" s="5"/>
    </row>
    <row r="350" spans="17:18" x14ac:dyDescent="0.2">
      <c r="Q350" s="1"/>
      <c r="R350" s="5"/>
    </row>
    <row r="351" spans="17:18" x14ac:dyDescent="0.2">
      <c r="Q351" s="1"/>
      <c r="R351" s="5"/>
    </row>
    <row r="352" spans="17:18" x14ac:dyDescent="0.2">
      <c r="Q352" s="1"/>
      <c r="R352" s="5"/>
    </row>
    <row r="353" spans="17:18" x14ac:dyDescent="0.2">
      <c r="Q353" s="1"/>
      <c r="R353" s="5"/>
    </row>
  </sheetData>
  <mergeCells count="49">
    <mergeCell ref="A130:F130"/>
    <mergeCell ref="G130:I130"/>
    <mergeCell ref="N3:O3"/>
    <mergeCell ref="A109:A114"/>
    <mergeCell ref="J109:J117"/>
    <mergeCell ref="A117:F117"/>
    <mergeCell ref="G117:I117"/>
    <mergeCell ref="A121:A126"/>
    <mergeCell ref="J121:J129"/>
    <mergeCell ref="A129:F129"/>
    <mergeCell ref="G129:I129"/>
    <mergeCell ref="A86:A91"/>
    <mergeCell ref="J86:J94"/>
    <mergeCell ref="A94:F94"/>
    <mergeCell ref="G94:I94"/>
    <mergeCell ref="A97:A102"/>
    <mergeCell ref="J97:J105"/>
    <mergeCell ref="A105:F105"/>
    <mergeCell ref="G105:I105"/>
    <mergeCell ref="A64:A69"/>
    <mergeCell ref="J64:J72"/>
    <mergeCell ref="A72:F72"/>
    <mergeCell ref="G72:I72"/>
    <mergeCell ref="A75:A80"/>
    <mergeCell ref="J75:J83"/>
    <mergeCell ref="A83:F83"/>
    <mergeCell ref="G83:I83"/>
    <mergeCell ref="A42:A47"/>
    <mergeCell ref="J42:J50"/>
    <mergeCell ref="A50:F50"/>
    <mergeCell ref="G50:I50"/>
    <mergeCell ref="A53:A58"/>
    <mergeCell ref="J53:J61"/>
    <mergeCell ref="A61:F61"/>
    <mergeCell ref="G61:I61"/>
    <mergeCell ref="A18:A22"/>
    <mergeCell ref="J18:J25"/>
    <mergeCell ref="A25:F25"/>
    <mergeCell ref="G25:I25"/>
    <mergeCell ref="A28:A36"/>
    <mergeCell ref="J28:J39"/>
    <mergeCell ref="A39:F39"/>
    <mergeCell ref="G39:I39"/>
    <mergeCell ref="A1:J1"/>
    <mergeCell ref="A2:J2"/>
    <mergeCell ref="A5:A12"/>
    <mergeCell ref="J5:J15"/>
    <mergeCell ref="A15:F15"/>
    <mergeCell ref="G15:I15"/>
  </mergeCells>
  <pageMargins left="0.39370078740157483" right="0.39370078740157483" top="0" bottom="0" header="0.31496062992125984" footer="0.31496062992125984"/>
  <pageSetup paperSize="138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1BC9-20E9-4CAA-9393-367A3C0FA336}">
  <dimension ref="A1:AU34"/>
  <sheetViews>
    <sheetView zoomScale="60" zoomScaleNormal="60" zoomScaleSheetLayoutView="7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AG25" sqref="AG25:AH25"/>
    </sheetView>
  </sheetViews>
  <sheetFormatPr defaultRowHeight="12.75" x14ac:dyDescent="0.2"/>
  <cols>
    <col min="1" max="1" width="4" style="5" customWidth="1"/>
    <col min="2" max="2" width="14" style="5" customWidth="1"/>
    <col min="3" max="15" width="5.5703125" style="5" bestFit="1" customWidth="1"/>
    <col min="16" max="16" width="5.5703125" style="5" customWidth="1"/>
    <col min="17" max="17" width="6.140625" style="5" bestFit="1" customWidth="1"/>
    <col min="18" max="23" width="5.5703125" style="5" bestFit="1" customWidth="1"/>
    <col min="24" max="24" width="5.140625" style="5" customWidth="1"/>
    <col min="25" max="25" width="4.85546875" style="5" customWidth="1"/>
    <col min="26" max="26" width="5.85546875" style="5" customWidth="1"/>
    <col min="27" max="27" width="5.5703125" style="5" bestFit="1" customWidth="1"/>
    <col min="28" max="28" width="6.140625" style="5" customWidth="1"/>
    <col min="29" max="33" width="5.5703125" style="5" bestFit="1" customWidth="1"/>
    <col min="34" max="35" width="5.5703125" style="5" customWidth="1"/>
    <col min="36" max="41" width="5.140625" style="5" hidden="1" customWidth="1"/>
    <col min="42" max="42" width="7" style="5" customWidth="1"/>
    <col min="43" max="43" width="7.140625" style="5" customWidth="1"/>
    <col min="44" max="44" width="15.85546875" style="5" bestFit="1" customWidth="1"/>
    <col min="45" max="45" width="26" style="5" customWidth="1"/>
    <col min="46" max="46" width="60.42578125" style="5" customWidth="1"/>
    <col min="47" max="16384" width="9.140625" style="5"/>
  </cols>
  <sheetData>
    <row r="1" spans="1:45" s="56" customFormat="1" ht="24" customHeight="1" x14ac:dyDescent="0.2">
      <c r="A1" s="55" t="s">
        <v>313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</row>
    <row r="2" spans="1:45" s="56" customFormat="1" ht="24" customHeight="1" x14ac:dyDescent="0.2">
      <c r="A2" s="55" t="s">
        <v>314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</row>
    <row r="3" spans="1:45" s="56" customFormat="1" ht="24" customHeight="1" x14ac:dyDescent="0.2">
      <c r="A3" s="55" t="s">
        <v>315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</row>
    <row r="6" spans="1:45" s="1" customFormat="1" ht="24.75" customHeight="1" x14ac:dyDescent="0.2">
      <c r="A6" s="57" t="s">
        <v>316</v>
      </c>
      <c r="B6" s="57" t="s">
        <v>317</v>
      </c>
      <c r="C6" s="58">
        <v>3</v>
      </c>
      <c r="D6" s="59"/>
      <c r="E6" s="60"/>
      <c r="F6" s="58">
        <v>4</v>
      </c>
      <c r="G6" s="59"/>
      <c r="H6" s="60"/>
      <c r="I6" s="58">
        <v>5</v>
      </c>
      <c r="J6" s="59"/>
      <c r="K6" s="60"/>
      <c r="L6" s="58">
        <v>6</v>
      </c>
      <c r="M6" s="59"/>
      <c r="N6" s="60"/>
      <c r="O6" s="58">
        <v>7</v>
      </c>
      <c r="P6" s="59"/>
      <c r="Q6" s="60"/>
      <c r="R6" s="58">
        <v>10</v>
      </c>
      <c r="S6" s="59"/>
      <c r="T6" s="60"/>
      <c r="U6" s="58">
        <v>11</v>
      </c>
      <c r="V6" s="59"/>
      <c r="W6" s="60"/>
      <c r="X6" s="58">
        <v>12</v>
      </c>
      <c r="Y6" s="59"/>
      <c r="Z6" s="60"/>
      <c r="AA6" s="58">
        <v>13</v>
      </c>
      <c r="AB6" s="59"/>
      <c r="AC6" s="60"/>
      <c r="AD6" s="58">
        <v>14</v>
      </c>
      <c r="AE6" s="59"/>
      <c r="AF6" s="60"/>
      <c r="AG6" s="58">
        <v>28</v>
      </c>
      <c r="AH6" s="59"/>
      <c r="AI6" s="60"/>
      <c r="AJ6" s="58"/>
      <c r="AK6" s="59"/>
      <c r="AL6" s="60"/>
      <c r="AM6" s="58">
        <v>18</v>
      </c>
      <c r="AN6" s="59"/>
      <c r="AO6" s="60"/>
      <c r="AP6" s="61" t="s">
        <v>318</v>
      </c>
      <c r="AQ6" s="61" t="s">
        <v>319</v>
      </c>
      <c r="AR6" s="62" t="s">
        <v>285</v>
      </c>
      <c r="AS6" s="62" t="s">
        <v>320</v>
      </c>
    </row>
    <row r="7" spans="1:45" s="1" customFormat="1" ht="24.75" customHeight="1" x14ac:dyDescent="0.2">
      <c r="A7" s="57"/>
      <c r="B7" s="57"/>
      <c r="C7" s="63" t="s">
        <v>321</v>
      </c>
      <c r="D7" s="63" t="s">
        <v>322</v>
      </c>
      <c r="E7" s="64" t="s">
        <v>323</v>
      </c>
      <c r="F7" s="63" t="s">
        <v>321</v>
      </c>
      <c r="G7" s="63" t="s">
        <v>322</v>
      </c>
      <c r="H7" s="64" t="s">
        <v>323</v>
      </c>
      <c r="I7" s="63" t="s">
        <v>321</v>
      </c>
      <c r="J7" s="63" t="s">
        <v>322</v>
      </c>
      <c r="K7" s="64" t="s">
        <v>323</v>
      </c>
      <c r="L7" s="63" t="s">
        <v>321</v>
      </c>
      <c r="M7" s="63" t="s">
        <v>322</v>
      </c>
      <c r="N7" s="64" t="s">
        <v>323</v>
      </c>
      <c r="O7" s="63" t="s">
        <v>321</v>
      </c>
      <c r="P7" s="63" t="s">
        <v>322</v>
      </c>
      <c r="Q7" s="64" t="s">
        <v>323</v>
      </c>
      <c r="R7" s="63" t="s">
        <v>321</v>
      </c>
      <c r="S7" s="63" t="s">
        <v>322</v>
      </c>
      <c r="T7" s="64" t="s">
        <v>323</v>
      </c>
      <c r="U7" s="63" t="s">
        <v>321</v>
      </c>
      <c r="V7" s="63" t="s">
        <v>322</v>
      </c>
      <c r="W7" s="64" t="s">
        <v>323</v>
      </c>
      <c r="X7" s="63" t="s">
        <v>321</v>
      </c>
      <c r="Y7" s="63" t="s">
        <v>322</v>
      </c>
      <c r="Z7" s="64" t="s">
        <v>323</v>
      </c>
      <c r="AA7" s="63" t="s">
        <v>321</v>
      </c>
      <c r="AB7" s="63" t="s">
        <v>322</v>
      </c>
      <c r="AC7" s="64" t="s">
        <v>323</v>
      </c>
      <c r="AD7" s="63" t="s">
        <v>321</v>
      </c>
      <c r="AE7" s="63" t="s">
        <v>322</v>
      </c>
      <c r="AF7" s="64" t="s">
        <v>323</v>
      </c>
      <c r="AG7" s="63" t="s">
        <v>321</v>
      </c>
      <c r="AH7" s="63" t="s">
        <v>322</v>
      </c>
      <c r="AI7" s="64" t="s">
        <v>323</v>
      </c>
      <c r="AJ7" s="63" t="s">
        <v>321</v>
      </c>
      <c r="AK7" s="63" t="s">
        <v>322</v>
      </c>
      <c r="AL7" s="64" t="s">
        <v>323</v>
      </c>
      <c r="AM7" s="63" t="s">
        <v>321</v>
      </c>
      <c r="AN7" s="63" t="s">
        <v>322</v>
      </c>
      <c r="AO7" s="64" t="s">
        <v>323</v>
      </c>
      <c r="AP7" s="65"/>
      <c r="AQ7" s="65"/>
      <c r="AR7" s="66"/>
      <c r="AS7" s="66"/>
    </row>
    <row r="8" spans="1:45" s="1" customFormat="1" ht="72.75" customHeight="1" x14ac:dyDescent="0.2">
      <c r="A8" s="67">
        <v>1</v>
      </c>
      <c r="B8" s="68" t="s">
        <v>324</v>
      </c>
      <c r="C8" s="67">
        <v>10</v>
      </c>
      <c r="D8" s="67">
        <v>21.59</v>
      </c>
      <c r="E8" s="67">
        <f>D8-C8-8</f>
        <v>3.59</v>
      </c>
      <c r="F8" s="67">
        <v>6.17</v>
      </c>
      <c r="G8" s="67">
        <v>21.59</v>
      </c>
      <c r="H8" s="67">
        <f>G8-F8-8</f>
        <v>7.42</v>
      </c>
      <c r="I8" s="67">
        <v>6.28</v>
      </c>
      <c r="J8" s="67">
        <v>16</v>
      </c>
      <c r="K8" s="67">
        <f>J8-I8-8</f>
        <v>1.7199999999999989</v>
      </c>
      <c r="L8" s="67">
        <v>6.25</v>
      </c>
      <c r="M8" s="67">
        <v>21.58</v>
      </c>
      <c r="N8" s="67">
        <f>M8-L8-8</f>
        <v>7.3299999999999983</v>
      </c>
      <c r="O8" s="69">
        <v>6.19</v>
      </c>
      <c r="P8" s="69">
        <v>15</v>
      </c>
      <c r="Q8" s="67">
        <f>P8-O8-7</f>
        <v>1.8099999999999987</v>
      </c>
      <c r="R8" s="70"/>
      <c r="S8" s="70"/>
      <c r="T8" s="70"/>
      <c r="U8" s="67">
        <v>10</v>
      </c>
      <c r="V8" s="67">
        <v>21.37</v>
      </c>
      <c r="W8" s="67">
        <f>V8-U8-8</f>
        <v>3.370000000000001</v>
      </c>
      <c r="X8" s="67">
        <v>6.2</v>
      </c>
      <c r="Y8" s="67">
        <v>16</v>
      </c>
      <c r="Z8" s="67">
        <f>Y8-X8-7</f>
        <v>2.8000000000000007</v>
      </c>
      <c r="AA8" s="67">
        <v>6.25</v>
      </c>
      <c r="AB8" s="67">
        <v>22.01</v>
      </c>
      <c r="AC8" s="67">
        <f>AB8-AA8-8</f>
        <v>7.7600000000000016</v>
      </c>
      <c r="AD8" s="69">
        <v>6.26</v>
      </c>
      <c r="AE8" s="69">
        <v>15</v>
      </c>
      <c r="AF8" s="67">
        <f>AE8-AD8-7</f>
        <v>1.7400000000000002</v>
      </c>
      <c r="AG8" s="67"/>
      <c r="AH8" s="67"/>
      <c r="AI8" s="67">
        <f>AH8-AG8-7</f>
        <v>-7</v>
      </c>
      <c r="AJ8" s="69"/>
      <c r="AK8" s="69"/>
      <c r="AL8" s="67"/>
      <c r="AM8" s="71"/>
      <c r="AN8" s="71"/>
      <c r="AO8" s="71"/>
      <c r="AP8" s="67">
        <f>SUM(E8+H8+K8+N8+Q8+T8+W8+Z8+AC8+AF8+AI8+AL8+AO8)</f>
        <v>30.54</v>
      </c>
      <c r="AQ8" s="67">
        <v>30</v>
      </c>
      <c r="AR8" s="72">
        <f>AQ8*8000</f>
        <v>240000</v>
      </c>
      <c r="AS8" s="73"/>
    </row>
    <row r="9" spans="1:45" s="1" customFormat="1" ht="72.75" customHeight="1" x14ac:dyDescent="0.2">
      <c r="A9" s="67">
        <v>2</v>
      </c>
      <c r="B9" s="68" t="s">
        <v>325</v>
      </c>
      <c r="C9" s="67">
        <v>6.48</v>
      </c>
      <c r="D9" s="67">
        <v>22.02</v>
      </c>
      <c r="E9" s="67">
        <f>D9-C9-8</f>
        <v>7.5399999999999991</v>
      </c>
      <c r="F9" s="69">
        <v>6.41</v>
      </c>
      <c r="G9" s="69">
        <v>22</v>
      </c>
      <c r="H9" s="67">
        <f>G9-F9-8</f>
        <v>7.59</v>
      </c>
      <c r="I9" s="67">
        <v>7.12</v>
      </c>
      <c r="J9" s="67">
        <v>22</v>
      </c>
      <c r="K9" s="67">
        <f>J9-I9-8</f>
        <v>6.879999999999999</v>
      </c>
      <c r="L9" s="67">
        <v>7.27</v>
      </c>
      <c r="M9" s="67">
        <v>22</v>
      </c>
      <c r="N9" s="67">
        <f>M9-L9-8</f>
        <v>6.73</v>
      </c>
      <c r="O9" s="74">
        <v>6.42</v>
      </c>
      <c r="P9" s="67">
        <v>20.02</v>
      </c>
      <c r="Q9" s="67">
        <f>P9-O9-7</f>
        <v>6.6</v>
      </c>
      <c r="R9" s="67">
        <v>6.35</v>
      </c>
      <c r="S9" s="67">
        <v>22</v>
      </c>
      <c r="T9" s="67">
        <f>S9-R9-8</f>
        <v>7.65</v>
      </c>
      <c r="U9" s="67">
        <v>6.13</v>
      </c>
      <c r="V9" s="67">
        <v>22</v>
      </c>
      <c r="W9" s="67">
        <f>V9-U9-8</f>
        <v>7.870000000000001</v>
      </c>
      <c r="X9" s="67">
        <v>7.06</v>
      </c>
      <c r="Y9" s="67">
        <v>22</v>
      </c>
      <c r="Z9" s="67">
        <f>Y9-X9-7</f>
        <v>7.9400000000000013</v>
      </c>
      <c r="AA9" s="67">
        <v>7.31</v>
      </c>
      <c r="AB9" s="67">
        <v>22</v>
      </c>
      <c r="AC9" s="67">
        <f>AB9-AA9-8</f>
        <v>6.6900000000000013</v>
      </c>
      <c r="AD9" s="69">
        <v>6.5</v>
      </c>
      <c r="AE9" s="69">
        <v>22.03</v>
      </c>
      <c r="AF9" s="69">
        <f>AE9-AD9-7</f>
        <v>8.5300000000000011</v>
      </c>
      <c r="AG9" s="69"/>
      <c r="AH9" s="69"/>
      <c r="AI9" s="67">
        <f>AH9-AG9-7</f>
        <v>-7</v>
      </c>
      <c r="AJ9" s="69"/>
      <c r="AK9" s="69"/>
      <c r="AL9" s="67"/>
      <c r="AM9" s="71"/>
      <c r="AN9" s="71"/>
      <c r="AO9" s="71"/>
      <c r="AP9" s="67">
        <f>SUM(E9+H9+K9+N9+Q9+T9+W9+Z9+AC9+AF9+AI9+AL9+AO9)</f>
        <v>67.02</v>
      </c>
      <c r="AQ9" s="67">
        <v>67</v>
      </c>
      <c r="AR9" s="72">
        <f>AQ9*8000</f>
        <v>536000</v>
      </c>
      <c r="AS9" s="73"/>
    </row>
    <row r="10" spans="1:45" s="1" customFormat="1" ht="38.25" customHeight="1" x14ac:dyDescent="0.2">
      <c r="A10" s="75" t="s">
        <v>285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7"/>
      <c r="AR10" s="78">
        <f>SUM(AR8:AR9)</f>
        <v>776000</v>
      </c>
      <c r="AS10" s="63"/>
    </row>
    <row r="11" spans="1:45" ht="15" x14ac:dyDescent="0.2">
      <c r="AS11" s="11"/>
    </row>
    <row r="12" spans="1:45" s="1" customFormat="1" ht="24.75" hidden="1" customHeight="1" x14ac:dyDescent="0.2">
      <c r="A12" s="57" t="s">
        <v>316</v>
      </c>
      <c r="B12" s="57" t="s">
        <v>317</v>
      </c>
      <c r="C12" s="58">
        <v>20</v>
      </c>
      <c r="D12" s="59"/>
      <c r="E12" s="60"/>
      <c r="F12" s="58">
        <v>21</v>
      </c>
      <c r="G12" s="59"/>
      <c r="H12" s="60"/>
      <c r="I12" s="58">
        <v>24</v>
      </c>
      <c r="J12" s="59"/>
      <c r="K12" s="60"/>
      <c r="L12" s="58">
        <v>25</v>
      </c>
      <c r="M12" s="59"/>
      <c r="N12" s="60"/>
      <c r="O12" s="58"/>
      <c r="P12" s="59"/>
      <c r="Q12" s="60"/>
      <c r="R12" s="58"/>
      <c r="S12" s="59"/>
      <c r="T12" s="60"/>
      <c r="U12" s="58"/>
      <c r="V12" s="59"/>
      <c r="W12" s="60"/>
      <c r="X12" s="58"/>
      <c r="Y12" s="59"/>
      <c r="Z12" s="60"/>
      <c r="AA12" s="58"/>
      <c r="AB12" s="59"/>
      <c r="AC12" s="60"/>
      <c r="AD12" s="58"/>
      <c r="AE12" s="59"/>
      <c r="AF12" s="60"/>
      <c r="AG12" s="58"/>
      <c r="AH12" s="59"/>
      <c r="AI12" s="60"/>
      <c r="AJ12" s="58"/>
      <c r="AK12" s="59"/>
      <c r="AL12" s="60"/>
      <c r="AM12" s="58"/>
      <c r="AN12" s="59"/>
      <c r="AO12" s="60"/>
      <c r="AP12" s="61" t="s">
        <v>318</v>
      </c>
      <c r="AQ12" s="61" t="s">
        <v>319</v>
      </c>
      <c r="AR12" s="62" t="s">
        <v>285</v>
      </c>
      <c r="AS12" s="62" t="s">
        <v>320</v>
      </c>
    </row>
    <row r="13" spans="1:45" s="1" customFormat="1" ht="24.75" hidden="1" customHeight="1" x14ac:dyDescent="0.2">
      <c r="A13" s="57"/>
      <c r="B13" s="57"/>
      <c r="C13" s="63" t="s">
        <v>321</v>
      </c>
      <c r="D13" s="63" t="s">
        <v>322</v>
      </c>
      <c r="E13" s="64" t="s">
        <v>323</v>
      </c>
      <c r="F13" s="63" t="s">
        <v>321</v>
      </c>
      <c r="G13" s="63" t="s">
        <v>322</v>
      </c>
      <c r="H13" s="64" t="s">
        <v>323</v>
      </c>
      <c r="I13" s="63" t="s">
        <v>321</v>
      </c>
      <c r="J13" s="63" t="s">
        <v>322</v>
      </c>
      <c r="K13" s="64" t="s">
        <v>323</v>
      </c>
      <c r="L13" s="63" t="s">
        <v>321</v>
      </c>
      <c r="M13" s="63" t="s">
        <v>322</v>
      </c>
      <c r="N13" s="64" t="s">
        <v>323</v>
      </c>
      <c r="O13" s="63" t="s">
        <v>321</v>
      </c>
      <c r="P13" s="63" t="s">
        <v>322</v>
      </c>
      <c r="Q13" s="64" t="s">
        <v>323</v>
      </c>
      <c r="R13" s="63" t="s">
        <v>321</v>
      </c>
      <c r="S13" s="63" t="s">
        <v>322</v>
      </c>
      <c r="T13" s="64" t="s">
        <v>323</v>
      </c>
      <c r="U13" s="63" t="s">
        <v>321</v>
      </c>
      <c r="V13" s="63" t="s">
        <v>322</v>
      </c>
      <c r="W13" s="64" t="s">
        <v>323</v>
      </c>
      <c r="X13" s="63" t="s">
        <v>321</v>
      </c>
      <c r="Y13" s="63" t="s">
        <v>322</v>
      </c>
      <c r="Z13" s="64" t="s">
        <v>323</v>
      </c>
      <c r="AA13" s="63" t="s">
        <v>321</v>
      </c>
      <c r="AB13" s="63" t="s">
        <v>322</v>
      </c>
      <c r="AC13" s="64" t="s">
        <v>323</v>
      </c>
      <c r="AD13" s="63" t="s">
        <v>321</v>
      </c>
      <c r="AE13" s="63" t="s">
        <v>322</v>
      </c>
      <c r="AF13" s="64" t="s">
        <v>323</v>
      </c>
      <c r="AG13" s="63" t="s">
        <v>321</v>
      </c>
      <c r="AH13" s="63" t="s">
        <v>322</v>
      </c>
      <c r="AI13" s="64" t="s">
        <v>323</v>
      </c>
      <c r="AJ13" s="63" t="s">
        <v>321</v>
      </c>
      <c r="AK13" s="63" t="s">
        <v>322</v>
      </c>
      <c r="AL13" s="64" t="s">
        <v>323</v>
      </c>
      <c r="AM13" s="63" t="s">
        <v>321</v>
      </c>
      <c r="AN13" s="63" t="s">
        <v>322</v>
      </c>
      <c r="AO13" s="64" t="s">
        <v>323</v>
      </c>
      <c r="AP13" s="65"/>
      <c r="AQ13" s="65"/>
      <c r="AR13" s="66"/>
      <c r="AS13" s="66"/>
    </row>
    <row r="14" spans="1:45" s="1" customFormat="1" ht="103.5" hidden="1" customHeight="1" x14ac:dyDescent="0.2">
      <c r="A14" s="67">
        <v>1</v>
      </c>
      <c r="B14" s="68" t="s">
        <v>325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>
        <f>SUM(E14+H14+K14+N14+Q14+T14+W14+Z14+AC14+AF14+AI14+AL14+AO14)</f>
        <v>0</v>
      </c>
      <c r="AQ14" s="67">
        <v>22.5</v>
      </c>
      <c r="AR14" s="72">
        <f>AQ14*8000</f>
        <v>180000</v>
      </c>
      <c r="AS14" s="73"/>
    </row>
    <row r="15" spans="1:45" s="1" customFormat="1" ht="103.5" hidden="1" customHeight="1" x14ac:dyDescent="0.2">
      <c r="A15" s="67">
        <v>2</v>
      </c>
      <c r="B15" s="68" t="s">
        <v>324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>
        <f>SUM(E15+H15+K15+N15+Q15+T15+W15+Z15+AC15+AF15+AI15+AL15+AO15)</f>
        <v>0</v>
      </c>
      <c r="AQ15" s="67">
        <v>19.5</v>
      </c>
      <c r="AR15" s="72">
        <f>AQ15*8000</f>
        <v>156000</v>
      </c>
      <c r="AS15" s="73"/>
    </row>
    <row r="16" spans="1:45" s="1" customFormat="1" ht="38.25" hidden="1" customHeight="1" x14ac:dyDescent="0.2">
      <c r="A16" s="75" t="s">
        <v>285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7"/>
      <c r="AR16" s="78">
        <f>SUM(AR14:AR15)</f>
        <v>336000</v>
      </c>
      <c r="AS16" s="73"/>
    </row>
    <row r="17" spans="1:47" s="1" customFormat="1" ht="38.25" hidden="1" customHeight="1" x14ac:dyDescent="0.2">
      <c r="A17" s="75" t="s">
        <v>306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7"/>
      <c r="AR17" s="78">
        <f>AR10+AR16</f>
        <v>1112000</v>
      </c>
      <c r="AS17" s="73"/>
    </row>
    <row r="18" spans="1:47" hidden="1" x14ac:dyDescent="0.2"/>
    <row r="19" spans="1:47" s="11" customFormat="1" ht="16.5" customHeight="1" x14ac:dyDescent="0.2">
      <c r="AT19" s="1"/>
      <c r="AU19" s="5"/>
    </row>
    <row r="20" spans="1:47" s="1" customFormat="1" ht="17.25" customHeight="1" x14ac:dyDescent="0.2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0"/>
      <c r="AS20" s="81"/>
    </row>
    <row r="21" spans="1:47" s="11" customFormat="1" ht="16.5" customHeight="1" x14ac:dyDescent="0.2">
      <c r="B21" s="11" t="s">
        <v>307</v>
      </c>
      <c r="X21" s="1"/>
      <c r="Y21" s="5"/>
      <c r="AQ21" s="11" t="s">
        <v>326</v>
      </c>
      <c r="AT21" s="1"/>
      <c r="AU21" s="5"/>
    </row>
    <row r="22" spans="1:47" s="11" customFormat="1" ht="16.5" customHeight="1" x14ac:dyDescent="0.2">
      <c r="B22" s="11" t="s">
        <v>309</v>
      </c>
      <c r="X22" s="1"/>
      <c r="Y22" s="5"/>
      <c r="AQ22" s="11" t="s">
        <v>310</v>
      </c>
      <c r="AT22" s="1"/>
      <c r="AU22" s="5"/>
    </row>
    <row r="23" spans="1:47" s="11" customFormat="1" ht="16.5" customHeight="1" x14ac:dyDescent="0.2">
      <c r="X23" s="1"/>
      <c r="Y23" s="5"/>
      <c r="AT23" s="1"/>
      <c r="AU23" s="5"/>
    </row>
    <row r="24" spans="1:47" s="11" customFormat="1" ht="16.5" customHeight="1" x14ac:dyDescent="0.2">
      <c r="X24" s="1"/>
      <c r="Y24" s="5"/>
      <c r="AE24" s="56"/>
      <c r="AT24" s="1"/>
      <c r="AU24" s="5"/>
    </row>
    <row r="25" spans="1:47" s="11" customFormat="1" ht="16.5" customHeight="1" x14ac:dyDescent="0.2">
      <c r="X25" s="1"/>
      <c r="Y25" s="5"/>
      <c r="AE25" s="56"/>
      <c r="AT25" s="1"/>
      <c r="AU25" s="5"/>
    </row>
    <row r="26" spans="1:47" s="11" customFormat="1" ht="16.5" customHeight="1" x14ac:dyDescent="0.2">
      <c r="B26" s="11" t="s">
        <v>311</v>
      </c>
      <c r="X26" s="1"/>
      <c r="Y26" s="82"/>
      <c r="AQ26" s="11" t="s">
        <v>312</v>
      </c>
    </row>
    <row r="27" spans="1:47" s="11" customFormat="1" ht="16.5" customHeight="1" x14ac:dyDescent="0.2">
      <c r="X27" s="1"/>
      <c r="Y27" s="5"/>
    </row>
    <row r="28" spans="1:47" s="11" customFormat="1" ht="16.5" customHeight="1" x14ac:dyDescent="0.2">
      <c r="X28" s="1"/>
      <c r="Y28" s="82"/>
    </row>
    <row r="29" spans="1:47" s="11" customFormat="1" ht="15" x14ac:dyDescent="0.2">
      <c r="X29"/>
      <c r="Y29" s="83"/>
    </row>
    <row r="30" spans="1:47" s="11" customFormat="1" ht="15" x14ac:dyDescent="0.2"/>
    <row r="31" spans="1:47" s="11" customFormat="1" ht="15" x14ac:dyDescent="0.2"/>
    <row r="32" spans="1:47" s="11" customFormat="1" ht="15" x14ac:dyDescent="0.2"/>
    <row r="33" s="11" customFormat="1" ht="15" x14ac:dyDescent="0.2"/>
    <row r="34" s="11" customFormat="1" ht="15" x14ac:dyDescent="0.2"/>
  </sheetData>
  <mergeCells count="44">
    <mergeCell ref="AP12:AP13"/>
    <mergeCell ref="AQ12:AQ13"/>
    <mergeCell ref="AR12:AR13"/>
    <mergeCell ref="AS12:AS13"/>
    <mergeCell ref="A16:AP16"/>
    <mergeCell ref="A17:AP17"/>
    <mergeCell ref="X12:Z12"/>
    <mergeCell ref="AA12:AC12"/>
    <mergeCell ref="AD12:AF12"/>
    <mergeCell ref="AG12:AI12"/>
    <mergeCell ref="AJ12:AL12"/>
    <mergeCell ref="AM12:AO12"/>
    <mergeCell ref="A10:AP10"/>
    <mergeCell ref="A12:A13"/>
    <mergeCell ref="B12:B13"/>
    <mergeCell ref="C12:E12"/>
    <mergeCell ref="F12:H12"/>
    <mergeCell ref="I12:K12"/>
    <mergeCell ref="L12:N12"/>
    <mergeCell ref="O12:Q12"/>
    <mergeCell ref="R12:T12"/>
    <mergeCell ref="U12:W12"/>
    <mergeCell ref="AJ6:AL6"/>
    <mergeCell ref="AM6:AO6"/>
    <mergeCell ref="AP6:AP7"/>
    <mergeCell ref="AQ6:AQ7"/>
    <mergeCell ref="AR6:AR7"/>
    <mergeCell ref="AS6:AS7"/>
    <mergeCell ref="R6:T6"/>
    <mergeCell ref="U6:W6"/>
    <mergeCell ref="X6:Z6"/>
    <mergeCell ref="AA6:AC6"/>
    <mergeCell ref="AD6:AF6"/>
    <mergeCell ref="AG6:AI6"/>
    <mergeCell ref="A1:AS1"/>
    <mergeCell ref="A2:AS2"/>
    <mergeCell ref="A3:AS3"/>
    <mergeCell ref="A6:A7"/>
    <mergeCell ref="B6:B7"/>
    <mergeCell ref="C6:E6"/>
    <mergeCell ref="F6:H6"/>
    <mergeCell ref="I6:K6"/>
    <mergeCell ref="L6:N6"/>
    <mergeCell ref="O6:Q6"/>
  </mergeCells>
  <pageMargins left="0" right="0" top="0.55118110236220474" bottom="0.74803149606299213" header="0.31496062992125984" footer="0.31496062992125984"/>
  <pageSetup paperSize="138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NOVEMBER</vt:lpstr>
      <vt:lpstr>LEMBUR</vt:lpstr>
      <vt:lpstr>NOVEMBER.25 K3</vt:lpstr>
      <vt:lpstr>LEMBUR!Print_Area</vt:lpstr>
      <vt:lpstr>'NOVEMBER.25 K3'!Print_Area</vt:lpstr>
      <vt:lpstr>LEMBUR!Print_Titles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Vinna-FT</dc:creator>
  <cp:lastModifiedBy>Vinna-FT</cp:lastModifiedBy>
  <dcterms:created xsi:type="dcterms:W3CDTF">2025-11-20T03:49:41Z</dcterms:created>
  <dcterms:modified xsi:type="dcterms:W3CDTF">2025-11-20T03:54:55Z</dcterms:modified>
</cp:coreProperties>
</file>